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INING_DATA" sheetId="1" state="visible" r:id="rId3"/>
    <sheet name="RUBRI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<sst xmlns="http://schemas.openxmlformats.org/spreadsheetml/2006/main" count="107" uniqueCount="107">
  <si>
    <t xml:space="preserve">student_id</t>
  </si>
  <si>
    <t xml:space="preserve">listening_correct</t>
  </si>
  <si>
    <t xml:space="preserve">reading_correct</t>
  </si>
  <si>
    <t xml:space="preserve">grammar_correct</t>
  </si>
  <si>
    <t xml:space="preserve">total_correct</t>
  </si>
  <si>
    <t xml:space="preserve">percentage</t>
  </si>
  <si>
    <t xml:space="preserve">proficiency_level</t>
  </si>
  <si>
    <t xml:space="preserve">recommended_course</t>
  </si>
  <si>
    <t xml:space="preserve">STD001</t>
  </si>
  <si>
    <t xml:space="preserve">STD002</t>
  </si>
  <si>
    <t xml:space="preserve">STD003</t>
  </si>
  <si>
    <t xml:space="preserve">STD004</t>
  </si>
  <si>
    <t xml:space="preserve">STD005</t>
  </si>
  <si>
    <t xml:space="preserve">STD006</t>
  </si>
  <si>
    <t xml:space="preserve">STD007</t>
  </si>
  <si>
    <t xml:space="preserve">STD008</t>
  </si>
  <si>
    <t xml:space="preserve">STD009</t>
  </si>
  <si>
    <t xml:space="preserve">STD010</t>
  </si>
  <si>
    <t xml:space="preserve">STD011</t>
  </si>
  <si>
    <t xml:space="preserve">STD012</t>
  </si>
  <si>
    <t xml:space="preserve">STD013</t>
  </si>
  <si>
    <t xml:space="preserve">STD014</t>
  </si>
  <si>
    <t xml:space="preserve">STD015</t>
  </si>
  <si>
    <t xml:space="preserve">STD016</t>
  </si>
  <si>
    <t xml:space="preserve">STD017</t>
  </si>
  <si>
    <t xml:space="preserve">STD018</t>
  </si>
  <si>
    <t xml:space="preserve">STD019</t>
  </si>
  <si>
    <t xml:space="preserve">STD020</t>
  </si>
  <si>
    <t xml:space="preserve">STD021</t>
  </si>
  <si>
    <t xml:space="preserve">STD022</t>
  </si>
  <si>
    <t xml:space="preserve">STD023</t>
  </si>
  <si>
    <t xml:space="preserve">STD024</t>
  </si>
  <si>
    <t xml:space="preserve">STD025</t>
  </si>
  <si>
    <t xml:space="preserve">STD026</t>
  </si>
  <si>
    <t xml:space="preserve">STD027</t>
  </si>
  <si>
    <t xml:space="preserve">STD028</t>
  </si>
  <si>
    <t xml:space="preserve">STD029</t>
  </si>
  <si>
    <t xml:space="preserve">STD030</t>
  </si>
  <si>
    <t xml:space="preserve">STD031</t>
  </si>
  <si>
    <t xml:space="preserve">STD032</t>
  </si>
  <si>
    <t xml:space="preserve">STD033</t>
  </si>
  <si>
    <t xml:space="preserve">STD034</t>
  </si>
  <si>
    <t xml:space="preserve">STD035</t>
  </si>
  <si>
    <t xml:space="preserve">STD036</t>
  </si>
  <si>
    <t xml:space="preserve">STD037</t>
  </si>
  <si>
    <t xml:space="preserve">STD038</t>
  </si>
  <si>
    <t xml:space="preserve">STD039</t>
  </si>
  <si>
    <t xml:space="preserve">STD040</t>
  </si>
  <si>
    <t xml:space="preserve">STD041</t>
  </si>
  <si>
    <t xml:space="preserve">STD042</t>
  </si>
  <si>
    <t xml:space="preserve">STD043</t>
  </si>
  <si>
    <t xml:space="preserve">STD044</t>
  </si>
  <si>
    <t xml:space="preserve">STD045</t>
  </si>
  <si>
    <t xml:space="preserve">STD046</t>
  </si>
  <si>
    <t xml:space="preserve">STD047</t>
  </si>
  <si>
    <t xml:space="preserve">STD048</t>
  </si>
  <si>
    <t xml:space="preserve">STD049</t>
  </si>
  <si>
    <t xml:space="preserve">STD050</t>
  </si>
  <si>
    <t xml:space="preserve">STD051</t>
  </si>
  <si>
    <t xml:space="preserve">STD052</t>
  </si>
  <si>
    <t xml:space="preserve">STD053</t>
  </si>
  <si>
    <t xml:space="preserve">STD054</t>
  </si>
  <si>
    <t xml:space="preserve">STD055</t>
  </si>
  <si>
    <t xml:space="preserve">STD056</t>
  </si>
  <si>
    <t xml:space="preserve">STD057</t>
  </si>
  <si>
    <t xml:space="preserve">STD058</t>
  </si>
  <si>
    <t xml:space="preserve">STD059</t>
  </si>
  <si>
    <t xml:space="preserve">STD060</t>
  </si>
  <si>
    <t xml:space="preserve">STD061</t>
  </si>
  <si>
    <t xml:space="preserve">STD062</t>
  </si>
  <si>
    <t xml:space="preserve">STD063</t>
  </si>
  <si>
    <t xml:space="preserve">STD064</t>
  </si>
  <si>
    <t xml:space="preserve">STD065</t>
  </si>
  <si>
    <t xml:space="preserve">STD066</t>
  </si>
  <si>
    <t xml:space="preserve">STD067</t>
  </si>
  <si>
    <t xml:space="preserve">STD068</t>
  </si>
  <si>
    <t xml:space="preserve">STD069</t>
  </si>
  <si>
    <t xml:space="preserve">STD070</t>
  </si>
  <si>
    <t xml:space="preserve">STD071</t>
  </si>
  <si>
    <t xml:space="preserve">STD072</t>
  </si>
  <si>
    <t xml:space="preserve">STD073</t>
  </si>
  <si>
    <t xml:space="preserve">STD074</t>
  </si>
  <si>
    <t xml:space="preserve">STD075</t>
  </si>
  <si>
    <t xml:space="preserve">STD076</t>
  </si>
  <si>
    <t xml:space="preserve">STD077</t>
  </si>
  <si>
    <t xml:space="preserve">STD078</t>
  </si>
  <si>
    <t xml:space="preserve">STD079</t>
  </si>
  <si>
    <t xml:space="preserve">STD080</t>
  </si>
  <si>
    <t xml:space="preserve">Total Correct (of 30)</t>
  </si>
  <si>
    <t xml:space="preserve">Proficiency (CEFR)</t>
  </si>
  <si>
    <t xml:space="preserve">Recommended Course</t>
  </si>
  <si>
    <t xml:space="preserve">Catatan: tiap pengisian tes = 10 Listening + 10 Reading + 10 Grammar (30 soal).</t>
  </si>
  <si>
    <t xml:space="preserve">0 - 9</t>
  </si>
  <si>
    <t xml:space="preserve">A1</t>
  </si>
  <si>
    <t xml:space="preserve">Basic English Foundation</t>
  </si>
  <si>
    <t xml:space="preserve">10 - 14</t>
  </si>
  <si>
    <t xml:space="preserve">A2</t>
  </si>
  <si>
    <t xml:space="preserve">Elementary English</t>
  </si>
  <si>
    <t xml:space="preserve">15 - 20</t>
  </si>
  <si>
    <t xml:space="preserve">B1</t>
  </si>
  <si>
    <t xml:space="preserve">Intermediate English</t>
  </si>
  <si>
    <t xml:space="preserve">21 - 25</t>
  </si>
  <si>
    <t xml:space="preserve">B2</t>
  </si>
  <si>
    <t xml:space="preserve">Upper-Intermediate English</t>
  </si>
  <si>
    <t xml:space="preserve">26 - 30</t>
  </si>
  <si>
    <t xml:space="preserve">C1</t>
  </si>
  <si>
    <t xml:space="preserve">Advanced English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</si>
</sst>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0392B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16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7"/>
    <col collapsed="false" customWidth="true" hidden="false" outlineLevel="0" max="8" min="8" style="0" width="2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3" t="n">
        <v>3</v>
      </c>
      <c r="C2" s="3" t="n">
        <v>5</v>
      </c>
      <c r="D2" s="3" t="n">
        <v>5</v>
      </c>
      <c r="E2" s="3" t="n">
        <f aca="false">B2+C2+D2</f>
        <v>13</v>
      </c>
      <c r="F2" s="4" t="n">
        <f aca="false">E2/30</f>
        <v>0.433333333333333</v>
      </c>
      <c r="G2" s="2" t="str">
        <f aca="false">IF(E2&lt;=9,"A1",IF(E2&lt;=14,"A2",IF(E2&lt;=20,"B1",IF(E2&lt;=25,"B2","C1"))))</f>
        <v>A2</v>
      </c>
      <c r="H2" s="2" t="str">
        <f aca="false">IF(G2="A1","Basic English Foundation",IF(G2="A2","Elementary English",IF(G2="B1","Intermediate English",IF(G2="B2","Upper-Intermediate English","Advanced English"))))</f>
        <v>Elementary English</v>
      </c>
    </row>
    <row r="3" customFormat="false" ht="15" hidden="false" customHeight="false" outlineLevel="0" collapsed="false">
      <c r="A3" s="2" t="s">
        <v>9</v>
      </c>
      <c r="B3" s="3" t="n">
        <v>9</v>
      </c>
      <c r="C3" s="3" t="n">
        <v>7</v>
      </c>
      <c r="D3" s="3" t="n">
        <v>8</v>
      </c>
      <c r="E3" s="3" t="n">
        <f aca="false">B3+C3+D3</f>
        <v>24</v>
      </c>
      <c r="F3" s="4" t="n">
        <f aca="false">E3/30</f>
        <v>0.8</v>
      </c>
      <c r="G3" s="2" t="str">
        <f aca="false">IF(E3&lt;=9,"A1",IF(E3&lt;=14,"A2",IF(E3&lt;=20,"B1",IF(E3&lt;=25,"B2","C1"))))</f>
        <v>B2</v>
      </c>
      <c r="H3" s="2" t="str">
        <f aca="false">IF(G3="A1","Basic English Foundation",IF(G3="A2","Elementary English",IF(G3="B1","Intermediate English",IF(G3="B2","Upper-Intermediate English","Advanced English"))))</f>
        <v>Upper-Intermediate English</v>
      </c>
    </row>
    <row r="4" customFormat="false" ht="15" hidden="false" customHeight="false" outlineLevel="0" collapsed="false">
      <c r="A4" s="2" t="s">
        <v>10</v>
      </c>
      <c r="B4" s="3" t="n">
        <v>2</v>
      </c>
      <c r="C4" s="3" t="n">
        <v>2</v>
      </c>
      <c r="D4" s="3" t="n">
        <v>0</v>
      </c>
      <c r="E4" s="3" t="n">
        <f aca="false">B4+C4+D4</f>
        <v>4</v>
      </c>
      <c r="F4" s="4" t="n">
        <f aca="false">E4/30</f>
        <v>0.133333333333333</v>
      </c>
      <c r="G4" s="2" t="str">
        <f aca="false">IF(E4&lt;=9,"A1",IF(E4&lt;=14,"A2",IF(E4&lt;=20,"B1",IF(E4&lt;=25,"B2","C1"))))</f>
        <v>A1</v>
      </c>
      <c r="H4" s="2" t="str">
        <f aca="false">IF(G4="A1","Basic English Foundation",IF(G4="A2","Elementary English",IF(G4="B1","Intermediate English",IF(G4="B2","Upper-Intermediate English","Advanced English"))))</f>
        <v>Basic English Foundation</v>
      </c>
    </row>
    <row r="5" customFormat="false" ht="15" hidden="false" customHeight="false" outlineLevel="0" collapsed="false">
      <c r="A5" s="2" t="s">
        <v>11</v>
      </c>
      <c r="B5" s="3" t="n">
        <v>5</v>
      </c>
      <c r="C5" s="3" t="n">
        <v>2</v>
      </c>
      <c r="D5" s="3" t="n">
        <v>4</v>
      </c>
      <c r="E5" s="3" t="n">
        <f aca="false">B5+C5+D5</f>
        <v>11</v>
      </c>
      <c r="F5" s="4" t="n">
        <f aca="false">E5/30</f>
        <v>0.366666666666667</v>
      </c>
      <c r="G5" s="2" t="str">
        <f aca="false">IF(E5&lt;=9,"A1",IF(E5&lt;=14,"A2",IF(E5&lt;=20,"B1",IF(E5&lt;=25,"B2","C1"))))</f>
        <v>A2</v>
      </c>
      <c r="H5" s="2" t="str">
        <f aca="false">IF(G5="A1","Basic English Foundation",IF(G5="A2","Elementary English",IF(G5="B1","Intermediate English",IF(G5="B2","Upper-Intermediate English","Advanced English"))))</f>
        <v>Elementary English</v>
      </c>
    </row>
    <row r="6" customFormat="false" ht="15" hidden="false" customHeight="false" outlineLevel="0" collapsed="false">
      <c r="A6" s="2" t="s">
        <v>12</v>
      </c>
      <c r="B6" s="3" t="n">
        <v>3</v>
      </c>
      <c r="C6" s="3" t="n">
        <v>1</v>
      </c>
      <c r="D6" s="3" t="n">
        <v>3</v>
      </c>
      <c r="E6" s="3" t="n">
        <f aca="false">B6+C6+D6</f>
        <v>7</v>
      </c>
      <c r="F6" s="4" t="n">
        <f aca="false">E6/30</f>
        <v>0.233333333333333</v>
      </c>
      <c r="G6" s="2" t="str">
        <f aca="false">IF(E6&lt;=9,"A1",IF(E6&lt;=14,"A2",IF(E6&lt;=20,"B1",IF(E6&lt;=25,"B2","C1"))))</f>
        <v>A1</v>
      </c>
      <c r="H6" s="2" t="str">
        <f aca="false">IF(G6="A1","Basic English Foundation",IF(G6="A2","Elementary English",IF(G6="B1","Intermediate English",IF(G6="B2","Upper-Intermediate English","Advanced English"))))</f>
        <v>Basic English Foundation</v>
      </c>
    </row>
    <row r="7" customFormat="false" ht="15" hidden="false" customHeight="false" outlineLevel="0" collapsed="false">
      <c r="A7" s="2" t="s">
        <v>13</v>
      </c>
      <c r="B7" s="3" t="n">
        <v>7</v>
      </c>
      <c r="C7" s="3" t="n">
        <v>5</v>
      </c>
      <c r="D7" s="3" t="n">
        <v>6</v>
      </c>
      <c r="E7" s="3" t="n">
        <f aca="false">B7+C7+D7</f>
        <v>18</v>
      </c>
      <c r="F7" s="4" t="n">
        <f aca="false">E7/30</f>
        <v>0.6</v>
      </c>
      <c r="G7" s="2" t="str">
        <f aca="false">IF(E7&lt;=9,"A1",IF(E7&lt;=14,"A2",IF(E7&lt;=20,"B1",IF(E7&lt;=25,"B2","C1"))))</f>
        <v>B1</v>
      </c>
      <c r="H7" s="2" t="str">
        <f aca="false">IF(G7="A1","Basic English Foundation",IF(G7="A2","Elementary English",IF(G7="B1","Intermediate English",IF(G7="B2","Upper-Intermediate English","Advanced English"))))</f>
        <v>Intermediate English</v>
      </c>
    </row>
    <row r="8" customFormat="false" ht="15" hidden="false" customHeight="false" outlineLevel="0" collapsed="false">
      <c r="A8" s="2" t="s">
        <v>14</v>
      </c>
      <c r="B8" s="3" t="n">
        <v>6</v>
      </c>
      <c r="C8" s="3" t="n">
        <v>8</v>
      </c>
      <c r="D8" s="3" t="n">
        <v>7</v>
      </c>
      <c r="E8" s="3" t="n">
        <f aca="false">B8+C8+D8</f>
        <v>21</v>
      </c>
      <c r="F8" s="4" t="n">
        <f aca="false">E8/30</f>
        <v>0.7</v>
      </c>
      <c r="G8" s="2" t="str">
        <f aca="false">IF(E8&lt;=9,"A1",IF(E8&lt;=14,"A2",IF(E8&lt;=20,"B1",IF(E8&lt;=25,"B2","C1"))))</f>
        <v>B2</v>
      </c>
      <c r="H8" s="2" t="str">
        <f aca="false">IF(G8="A1","Basic English Foundation",IF(G8="A2","Elementary English",IF(G8="B1","Intermediate English",IF(G8="B2","Upper-Intermediate English","Advanced English"))))</f>
        <v>Upper-Intermediate English</v>
      </c>
    </row>
    <row r="9" customFormat="false" ht="15" hidden="false" customHeight="false" outlineLevel="0" collapsed="false">
      <c r="A9" s="2" t="s">
        <v>15</v>
      </c>
      <c r="B9" s="3" t="n">
        <v>4</v>
      </c>
      <c r="C9" s="3" t="n">
        <v>5</v>
      </c>
      <c r="D9" s="3" t="n">
        <v>4</v>
      </c>
      <c r="E9" s="3" t="n">
        <f aca="false">B9+C9+D9</f>
        <v>13</v>
      </c>
      <c r="F9" s="4" t="n">
        <f aca="false">E9/30</f>
        <v>0.433333333333333</v>
      </c>
      <c r="G9" s="2" t="str">
        <f aca="false">IF(E9&lt;=9,"A1",IF(E9&lt;=14,"A2",IF(E9&lt;=20,"B1",IF(E9&lt;=25,"B2","C1"))))</f>
        <v>A2</v>
      </c>
      <c r="H9" s="2" t="str">
        <f aca="false">IF(G9="A1","Basic English Foundation",IF(G9="A2","Elementary English",IF(G9="B1","Intermediate English",IF(G9="B2","Upper-Intermediate English","Advanced English"))))</f>
        <v>Elementary English</v>
      </c>
    </row>
    <row r="10" customFormat="false" ht="15" hidden="false" customHeight="false" outlineLevel="0" collapsed="false">
      <c r="A10" s="2" t="s">
        <v>16</v>
      </c>
      <c r="B10" s="3" t="n">
        <v>1</v>
      </c>
      <c r="C10" s="3" t="n">
        <v>2</v>
      </c>
      <c r="D10" s="3" t="n">
        <v>0</v>
      </c>
      <c r="E10" s="3" t="n">
        <f aca="false">B10+C10+D10</f>
        <v>3</v>
      </c>
      <c r="F10" s="4" t="n">
        <f aca="false">E10/30</f>
        <v>0.1</v>
      </c>
      <c r="G10" s="2" t="str">
        <f aca="false">IF(E10&lt;=9,"A1",IF(E10&lt;=14,"A2",IF(E10&lt;=20,"B1",IF(E10&lt;=25,"B2","C1"))))</f>
        <v>A1</v>
      </c>
      <c r="H10" s="2" t="str">
        <f aca="false">IF(G10="A1","Basic English Foundation",IF(G10="A2","Elementary English",IF(G10="B1","Intermediate English",IF(G10="B2","Upper-Intermediate English","Advanced English"))))</f>
        <v>Basic English Foundation</v>
      </c>
    </row>
    <row r="11" customFormat="false" ht="15" hidden="false" customHeight="false" outlineLevel="0" collapsed="false">
      <c r="A11" s="2" t="s">
        <v>17</v>
      </c>
      <c r="B11" s="3" t="n">
        <v>7</v>
      </c>
      <c r="C11" s="3" t="n">
        <v>4</v>
      </c>
      <c r="D11" s="3" t="n">
        <v>6</v>
      </c>
      <c r="E11" s="3" t="n">
        <f aca="false">B11+C11+D11</f>
        <v>17</v>
      </c>
      <c r="F11" s="4" t="n">
        <f aca="false">E11/30</f>
        <v>0.566666666666667</v>
      </c>
      <c r="G11" s="2" t="str">
        <f aca="false">IF(E11&lt;=9,"A1",IF(E11&lt;=14,"A2",IF(E11&lt;=20,"B1",IF(E11&lt;=25,"B2","C1"))))</f>
        <v>B1</v>
      </c>
      <c r="H11" s="2" t="str">
        <f aca="false">IF(G11="A1","Basic English Foundation",IF(G11="A2","Elementary English",IF(G11="B1","Intermediate English",IF(G11="B2","Upper-Intermediate English","Advanced English"))))</f>
        <v>Intermediate English</v>
      </c>
    </row>
    <row r="12" customFormat="false" ht="15" hidden="false" customHeight="false" outlineLevel="0" collapsed="false">
      <c r="A12" s="2" t="s">
        <v>18</v>
      </c>
      <c r="B12" s="3" t="n">
        <v>10</v>
      </c>
      <c r="C12" s="3" t="n">
        <v>10</v>
      </c>
      <c r="D12" s="3" t="n">
        <v>8</v>
      </c>
      <c r="E12" s="3" t="n">
        <f aca="false">B12+C12+D12</f>
        <v>28</v>
      </c>
      <c r="F12" s="4" t="n">
        <f aca="false">E12/30</f>
        <v>0.933333333333333</v>
      </c>
      <c r="G12" s="2" t="str">
        <f aca="false">IF(E12&lt;=9,"A1",IF(E12&lt;=14,"A2",IF(E12&lt;=20,"B1",IF(E12&lt;=25,"B2","C1"))))</f>
        <v>C1</v>
      </c>
      <c r="H12" s="2" t="str">
        <f aca="false">IF(G12="A1","Basic English Foundation",IF(G12="A2","Elementary English",IF(G12="B1","Intermediate English",IF(G12="B2","Upper-Intermediate English","Advanced English"))))</f>
        <v>Advanced English</v>
      </c>
    </row>
    <row r="13" customFormat="false" ht="15" hidden="false" customHeight="false" outlineLevel="0" collapsed="false">
      <c r="A13" s="2" t="s">
        <v>19</v>
      </c>
      <c r="B13" s="3" t="n">
        <v>2</v>
      </c>
      <c r="C13" s="3" t="n">
        <v>3</v>
      </c>
      <c r="D13" s="3" t="n">
        <v>5</v>
      </c>
      <c r="E13" s="3" t="n">
        <f aca="false">B13+C13+D13</f>
        <v>10</v>
      </c>
      <c r="F13" s="4" t="n">
        <f aca="false">E13/30</f>
        <v>0.333333333333333</v>
      </c>
      <c r="G13" s="2" t="str">
        <f aca="false">IF(E13&lt;=9,"A1",IF(E13&lt;=14,"A2",IF(E13&lt;=20,"B1",IF(E13&lt;=25,"B2","C1"))))</f>
        <v>A2</v>
      </c>
      <c r="H13" s="2" t="str">
        <f aca="false">IF(G13="A1","Basic English Foundation",IF(G13="A2","Elementary English",IF(G13="B1","Intermediate English",IF(G13="B2","Upper-Intermediate English","Advanced English"))))</f>
        <v>Elementary English</v>
      </c>
    </row>
    <row r="14" customFormat="false" ht="15" hidden="false" customHeight="false" outlineLevel="0" collapsed="false">
      <c r="A14" s="2" t="s">
        <v>20</v>
      </c>
      <c r="B14" s="3" t="n">
        <v>2</v>
      </c>
      <c r="C14" s="3" t="n">
        <v>4</v>
      </c>
      <c r="D14" s="3" t="n">
        <v>5</v>
      </c>
      <c r="E14" s="3" t="n">
        <f aca="false">B14+C14+D14</f>
        <v>11</v>
      </c>
      <c r="F14" s="4" t="n">
        <f aca="false">E14/30</f>
        <v>0.366666666666667</v>
      </c>
      <c r="G14" s="2" t="str">
        <f aca="false">IF(E14&lt;=9,"A1",IF(E14&lt;=14,"A2",IF(E14&lt;=20,"B1",IF(E14&lt;=25,"B2","C1"))))</f>
        <v>A2</v>
      </c>
      <c r="H14" s="2" t="str">
        <f aca="false">IF(G14="A1","Basic English Foundation",IF(G14="A2","Elementary English",IF(G14="B1","Intermediate English",IF(G14="B2","Upper-Intermediate English","Advanced English"))))</f>
        <v>Elementary English</v>
      </c>
    </row>
    <row r="15" customFormat="false" ht="15" hidden="false" customHeight="false" outlineLevel="0" collapsed="false">
      <c r="A15" s="2" t="s">
        <v>21</v>
      </c>
      <c r="B15" s="3" t="n">
        <v>9</v>
      </c>
      <c r="C15" s="3" t="n">
        <v>6</v>
      </c>
      <c r="D15" s="3" t="n">
        <v>7</v>
      </c>
      <c r="E15" s="3" t="n">
        <f aca="false">B15+C15+D15</f>
        <v>22</v>
      </c>
      <c r="F15" s="4" t="n">
        <f aca="false">E15/30</f>
        <v>0.733333333333333</v>
      </c>
      <c r="G15" s="2" t="str">
        <f aca="false">IF(E15&lt;=9,"A1",IF(E15&lt;=14,"A2",IF(E15&lt;=20,"B1",IF(E15&lt;=25,"B2","C1"))))</f>
        <v>B2</v>
      </c>
      <c r="H15" s="2" t="str">
        <f aca="false">IF(G15="A1","Basic English Foundation",IF(G15="A2","Elementary English",IF(G15="B1","Intermediate English",IF(G15="B2","Upper-Intermediate English","Advanced English"))))</f>
        <v>Upper-Intermediate English</v>
      </c>
    </row>
    <row r="16" customFormat="false" ht="15" hidden="false" customHeight="false" outlineLevel="0" collapsed="false">
      <c r="A16" s="2" t="s">
        <v>22</v>
      </c>
      <c r="B16" s="3" t="n">
        <v>6</v>
      </c>
      <c r="C16" s="3" t="n">
        <v>10</v>
      </c>
      <c r="D16" s="3" t="n">
        <v>8</v>
      </c>
      <c r="E16" s="3" t="n">
        <f aca="false">B16+C16+D16</f>
        <v>24</v>
      </c>
      <c r="F16" s="4" t="n">
        <f aca="false">E16/30</f>
        <v>0.8</v>
      </c>
      <c r="G16" s="2" t="str">
        <f aca="false">IF(E16&lt;=9,"A1",IF(E16&lt;=14,"A2",IF(E16&lt;=20,"B1",IF(E16&lt;=25,"B2","C1"))))</f>
        <v>B2</v>
      </c>
      <c r="H16" s="2" t="str">
        <f aca="false">IF(G16="A1","Basic English Foundation",IF(G16="A2","Elementary English",IF(G16="B1","Intermediate English",IF(G16="B2","Upper-Intermediate English","Advanced English"))))</f>
        <v>Upper-Intermediate English</v>
      </c>
    </row>
    <row r="17" customFormat="false" ht="15" hidden="false" customHeight="false" outlineLevel="0" collapsed="false">
      <c r="A17" s="2" t="s">
        <v>23</v>
      </c>
      <c r="B17" s="3" t="n">
        <v>4</v>
      </c>
      <c r="C17" s="3" t="n">
        <v>5</v>
      </c>
      <c r="D17" s="3" t="n">
        <v>6</v>
      </c>
      <c r="E17" s="3" t="n">
        <f aca="false">B17+C17+D17</f>
        <v>15</v>
      </c>
      <c r="F17" s="4" t="n">
        <f aca="false">E17/30</f>
        <v>0.5</v>
      </c>
      <c r="G17" s="2" t="str">
        <f aca="false">IF(E17&lt;=9,"A1",IF(E17&lt;=14,"A2",IF(E17&lt;=20,"B1",IF(E17&lt;=25,"B2","C1"))))</f>
        <v>B1</v>
      </c>
      <c r="H17" s="2" t="str">
        <f aca="false">IF(G17="A1","Basic English Foundation",IF(G17="A2","Elementary English",IF(G17="B1","Intermediate English",IF(G17="B2","Upper-Intermediate English","Advanced English"))))</f>
        <v>Intermediate English</v>
      </c>
    </row>
    <row r="18" customFormat="false" ht="15" hidden="false" customHeight="false" outlineLevel="0" collapsed="false">
      <c r="A18" s="2" t="s">
        <v>24</v>
      </c>
      <c r="B18" s="3" t="n">
        <v>7</v>
      </c>
      <c r="C18" s="3" t="n">
        <v>9</v>
      </c>
      <c r="D18" s="3" t="n">
        <v>10</v>
      </c>
      <c r="E18" s="3" t="n">
        <f aca="false">B18+C18+D18</f>
        <v>26</v>
      </c>
      <c r="F18" s="4" t="n">
        <f aca="false">E18/30</f>
        <v>0.866666666666667</v>
      </c>
      <c r="G18" s="2" t="str">
        <f aca="false">IF(E18&lt;=9,"A1",IF(E18&lt;=14,"A2",IF(E18&lt;=20,"B1",IF(E18&lt;=25,"B2","C1"))))</f>
        <v>C1</v>
      </c>
      <c r="H18" s="2" t="str">
        <f aca="false">IF(G18="A1","Basic English Foundation",IF(G18="A2","Elementary English",IF(G18="B1","Intermediate English",IF(G18="B2","Upper-Intermediate English","Advanced English"))))</f>
        <v>Advanced English</v>
      </c>
    </row>
    <row r="19" customFormat="false" ht="15" hidden="false" customHeight="false" outlineLevel="0" collapsed="false">
      <c r="A19" s="2" t="s">
        <v>25</v>
      </c>
      <c r="B19" s="3" t="n">
        <v>7</v>
      </c>
      <c r="C19" s="3" t="n">
        <v>6</v>
      </c>
      <c r="D19" s="3" t="n">
        <v>8</v>
      </c>
      <c r="E19" s="3" t="n">
        <f aca="false">B19+C19+D19</f>
        <v>21</v>
      </c>
      <c r="F19" s="4" t="n">
        <f aca="false">E19/30</f>
        <v>0.7</v>
      </c>
      <c r="G19" s="2" t="str">
        <f aca="false">IF(E19&lt;=9,"A1",IF(E19&lt;=14,"A2",IF(E19&lt;=20,"B1",IF(E19&lt;=25,"B2","C1"))))</f>
        <v>B2</v>
      </c>
      <c r="H19" s="2" t="str">
        <f aca="false">IF(G19="A1","Basic English Foundation",IF(G19="A2","Elementary English",IF(G19="B1","Intermediate English",IF(G19="B2","Upper-Intermediate English","Advanced English"))))</f>
        <v>Upper-Intermediate English</v>
      </c>
    </row>
    <row r="20" customFormat="false" ht="15" hidden="false" customHeight="false" outlineLevel="0" collapsed="false">
      <c r="A20" s="2" t="s">
        <v>26</v>
      </c>
      <c r="B20" s="3" t="n">
        <v>5</v>
      </c>
      <c r="C20" s="3" t="n">
        <v>6</v>
      </c>
      <c r="D20" s="3" t="n">
        <v>4</v>
      </c>
      <c r="E20" s="3" t="n">
        <f aca="false">B20+C20+D20</f>
        <v>15</v>
      </c>
      <c r="F20" s="4" t="n">
        <f aca="false">E20/30</f>
        <v>0.5</v>
      </c>
      <c r="G20" s="2" t="str">
        <f aca="false">IF(E20&lt;=9,"A1",IF(E20&lt;=14,"A2",IF(E20&lt;=20,"B1",IF(E20&lt;=25,"B2","C1"))))</f>
        <v>B1</v>
      </c>
      <c r="H20" s="2" t="str">
        <f aca="false">IF(G20="A1","Basic English Foundation",IF(G20="A2","Elementary English",IF(G20="B1","Intermediate English",IF(G20="B2","Upper-Intermediate English","Advanced English"))))</f>
        <v>Intermediate English</v>
      </c>
    </row>
    <row r="21" customFormat="false" ht="15" hidden="false" customHeight="false" outlineLevel="0" collapsed="false">
      <c r="A21" s="2" t="s">
        <v>27</v>
      </c>
      <c r="B21" s="3" t="n">
        <v>7</v>
      </c>
      <c r="C21" s="3" t="n">
        <v>5</v>
      </c>
      <c r="D21" s="3" t="n">
        <v>6</v>
      </c>
      <c r="E21" s="3" t="n">
        <f aca="false">B21+C21+D21</f>
        <v>18</v>
      </c>
      <c r="F21" s="4" t="n">
        <f aca="false">E21/30</f>
        <v>0.6</v>
      </c>
      <c r="G21" s="2" t="str">
        <f aca="false">IF(E21&lt;=9,"A1",IF(E21&lt;=14,"A2",IF(E21&lt;=20,"B1",IF(E21&lt;=25,"B2","C1"))))</f>
        <v>B1</v>
      </c>
      <c r="H21" s="2" t="str">
        <f aca="false">IF(G21="A1","Basic English Foundation",IF(G21="A2","Elementary English",IF(G21="B1","Intermediate English",IF(G21="B2","Upper-Intermediate English","Advanced English"))))</f>
        <v>Intermediate English</v>
      </c>
    </row>
    <row r="22" customFormat="false" ht="15" hidden="false" customHeight="false" outlineLevel="0" collapsed="false">
      <c r="A22" s="2" t="s">
        <v>28</v>
      </c>
      <c r="B22" s="3" t="n">
        <v>4</v>
      </c>
      <c r="C22" s="3" t="n">
        <v>6</v>
      </c>
      <c r="D22" s="3" t="n">
        <v>5</v>
      </c>
      <c r="E22" s="3" t="n">
        <f aca="false">B22+C22+D22</f>
        <v>15</v>
      </c>
      <c r="F22" s="4" t="n">
        <f aca="false">E22/30</f>
        <v>0.5</v>
      </c>
      <c r="G22" s="2" t="str">
        <f aca="false">IF(E22&lt;=9,"A1",IF(E22&lt;=14,"A2",IF(E22&lt;=20,"B1",IF(E22&lt;=25,"B2","C1"))))</f>
        <v>B1</v>
      </c>
      <c r="H22" s="2" t="str">
        <f aca="false">IF(G22="A1","Basic English Foundation",IF(G22="A2","Elementary English",IF(G22="B1","Intermediate English",IF(G22="B2","Upper-Intermediate English","Advanced English"))))</f>
        <v>Intermediate English</v>
      </c>
    </row>
    <row r="23" customFormat="false" ht="15" hidden="false" customHeight="false" outlineLevel="0" collapsed="false">
      <c r="A23" s="2" t="s">
        <v>29</v>
      </c>
      <c r="B23" s="3" t="n">
        <v>2</v>
      </c>
      <c r="C23" s="3" t="n">
        <v>4</v>
      </c>
      <c r="D23" s="3" t="n">
        <v>3</v>
      </c>
      <c r="E23" s="3" t="n">
        <f aca="false">B23+C23+D23</f>
        <v>9</v>
      </c>
      <c r="F23" s="4" t="n">
        <f aca="false">E23/30</f>
        <v>0.3</v>
      </c>
      <c r="G23" s="2" t="str">
        <f aca="false">IF(E23&lt;=9,"A1",IF(E23&lt;=14,"A2",IF(E23&lt;=20,"B1",IF(E23&lt;=25,"B2","C1"))))</f>
        <v>A1</v>
      </c>
      <c r="H23" s="2" t="str">
        <f aca="false">IF(G23="A1","Basic English Foundation",IF(G23="A2","Elementary English",IF(G23="B1","Intermediate English",IF(G23="B2","Upper-Intermediate English","Advanced English"))))</f>
        <v>Basic English Foundation</v>
      </c>
    </row>
    <row r="24" customFormat="false" ht="15" hidden="false" customHeight="false" outlineLevel="0" collapsed="false">
      <c r="A24" s="2" t="s">
        <v>30</v>
      </c>
      <c r="B24" s="3" t="n">
        <v>10</v>
      </c>
      <c r="C24" s="3" t="n">
        <v>8</v>
      </c>
      <c r="D24" s="3" t="n">
        <v>8</v>
      </c>
      <c r="E24" s="3" t="n">
        <f aca="false">B24+C24+D24</f>
        <v>26</v>
      </c>
      <c r="F24" s="4" t="n">
        <f aca="false">E24/30</f>
        <v>0.866666666666667</v>
      </c>
      <c r="G24" s="2" t="str">
        <f aca="false">IF(E24&lt;=9,"A1",IF(E24&lt;=14,"A2",IF(E24&lt;=20,"B1",IF(E24&lt;=25,"B2","C1"))))</f>
        <v>C1</v>
      </c>
      <c r="H24" s="2" t="str">
        <f aca="false">IF(G24="A1","Basic English Foundation",IF(G24="A2","Elementary English",IF(G24="B1","Intermediate English",IF(G24="B2","Upper-Intermediate English","Advanced English"))))</f>
        <v>Advanced English</v>
      </c>
    </row>
    <row r="25" customFormat="false" ht="15" hidden="false" customHeight="false" outlineLevel="0" collapsed="false">
      <c r="A25" s="2" t="s">
        <v>31</v>
      </c>
      <c r="B25" s="3" t="n">
        <v>3</v>
      </c>
      <c r="C25" s="3" t="n">
        <v>2</v>
      </c>
      <c r="D25" s="3" t="n">
        <v>0</v>
      </c>
      <c r="E25" s="3" t="n">
        <f aca="false">B25+C25+D25</f>
        <v>5</v>
      </c>
      <c r="F25" s="4" t="n">
        <f aca="false">E25/30</f>
        <v>0.166666666666667</v>
      </c>
      <c r="G25" s="2" t="str">
        <f aca="false">IF(E25&lt;=9,"A1",IF(E25&lt;=14,"A2",IF(E25&lt;=20,"B1",IF(E25&lt;=25,"B2","C1"))))</f>
        <v>A1</v>
      </c>
      <c r="H25" s="2" t="str">
        <f aca="false">IF(G25="A1","Basic English Foundation",IF(G25="A2","Elementary English",IF(G25="B1","Intermediate English",IF(G25="B2","Upper-Intermediate English","Advanced English"))))</f>
        <v>Basic English Foundation</v>
      </c>
    </row>
    <row r="26" customFormat="false" ht="15" hidden="false" customHeight="false" outlineLevel="0" collapsed="false">
      <c r="A26" s="2" t="s">
        <v>32</v>
      </c>
      <c r="B26" s="3" t="n">
        <v>4</v>
      </c>
      <c r="C26" s="3" t="n">
        <v>9</v>
      </c>
      <c r="D26" s="3" t="n">
        <v>8</v>
      </c>
      <c r="E26" s="3" t="n">
        <f aca="false">B26+C26+D26</f>
        <v>21</v>
      </c>
      <c r="F26" s="4" t="n">
        <f aca="false">E26/30</f>
        <v>0.7</v>
      </c>
      <c r="G26" s="2" t="str">
        <f aca="false">IF(E26&lt;=9,"A1",IF(E26&lt;=14,"A2",IF(E26&lt;=20,"B1",IF(E26&lt;=25,"B2","C1"))))</f>
        <v>B2</v>
      </c>
      <c r="H26" s="2" t="str">
        <f aca="false">IF(G26="A1","Basic English Foundation",IF(G26="A2","Elementary English",IF(G26="B1","Intermediate English",IF(G26="B2","Upper-Intermediate English","Advanced English"))))</f>
        <v>Upper-Intermediate English</v>
      </c>
    </row>
    <row r="27" customFormat="false" ht="15" hidden="false" customHeight="false" outlineLevel="0" collapsed="false">
      <c r="A27" s="2" t="s">
        <v>33</v>
      </c>
      <c r="B27" s="3" t="n">
        <v>4</v>
      </c>
      <c r="C27" s="3" t="n">
        <v>4</v>
      </c>
      <c r="D27" s="3" t="n">
        <v>5</v>
      </c>
      <c r="E27" s="3" t="n">
        <f aca="false">B27+C27+D27</f>
        <v>13</v>
      </c>
      <c r="F27" s="4" t="n">
        <f aca="false">E27/30</f>
        <v>0.433333333333333</v>
      </c>
      <c r="G27" s="2" t="str">
        <f aca="false">IF(E27&lt;=9,"A1",IF(E27&lt;=14,"A2",IF(E27&lt;=20,"B1",IF(E27&lt;=25,"B2","C1"))))</f>
        <v>A2</v>
      </c>
      <c r="H27" s="2" t="str">
        <f aca="false">IF(G27="A1","Basic English Foundation",IF(G27="A2","Elementary English",IF(G27="B1","Intermediate English",IF(G27="B2","Upper-Intermediate English","Advanced English"))))</f>
        <v>Elementary English</v>
      </c>
    </row>
    <row r="28" customFormat="false" ht="15" hidden="false" customHeight="false" outlineLevel="0" collapsed="false">
      <c r="A28" s="2" t="s">
        <v>34</v>
      </c>
      <c r="B28" s="3" t="n">
        <v>4</v>
      </c>
      <c r="C28" s="3" t="n">
        <v>8</v>
      </c>
      <c r="D28" s="3" t="n">
        <v>6</v>
      </c>
      <c r="E28" s="3" t="n">
        <f aca="false">B28+C28+D28</f>
        <v>18</v>
      </c>
      <c r="F28" s="4" t="n">
        <f aca="false">E28/30</f>
        <v>0.6</v>
      </c>
      <c r="G28" s="2" t="str">
        <f aca="false">IF(E28&lt;=9,"A1",IF(E28&lt;=14,"A2",IF(E28&lt;=20,"B1",IF(E28&lt;=25,"B2","C1"))))</f>
        <v>B1</v>
      </c>
      <c r="H28" s="2" t="str">
        <f aca="false">IF(G28="A1","Basic English Foundation",IF(G28="A2","Elementary English",IF(G28="B1","Intermediate English",IF(G28="B2","Upper-Intermediate English","Advanced English"))))</f>
        <v>Intermediate English</v>
      </c>
    </row>
    <row r="29" customFormat="false" ht="15" hidden="false" customHeight="false" outlineLevel="0" collapsed="false">
      <c r="A29" s="2" t="s">
        <v>35</v>
      </c>
      <c r="B29" s="3" t="n">
        <v>2</v>
      </c>
      <c r="C29" s="3" t="n">
        <v>4</v>
      </c>
      <c r="D29" s="3" t="n">
        <v>7</v>
      </c>
      <c r="E29" s="3" t="n">
        <f aca="false">B29+C29+D29</f>
        <v>13</v>
      </c>
      <c r="F29" s="4" t="n">
        <f aca="false">E29/30</f>
        <v>0.433333333333333</v>
      </c>
      <c r="G29" s="2" t="str">
        <f aca="false">IF(E29&lt;=9,"A1",IF(E29&lt;=14,"A2",IF(E29&lt;=20,"B1",IF(E29&lt;=25,"B2","C1"))))</f>
        <v>A2</v>
      </c>
      <c r="H29" s="2" t="str">
        <f aca="false">IF(G29="A1","Basic English Foundation",IF(G29="A2","Elementary English",IF(G29="B1","Intermediate English",IF(G29="B2","Upper-Intermediate English","Advanced English"))))</f>
        <v>Elementary English</v>
      </c>
    </row>
    <row r="30" customFormat="false" ht="15" hidden="false" customHeight="false" outlineLevel="0" collapsed="false">
      <c r="A30" s="2" t="s">
        <v>36</v>
      </c>
      <c r="B30" s="3" t="n">
        <v>3</v>
      </c>
      <c r="C30" s="3" t="n">
        <v>2</v>
      </c>
      <c r="D30" s="3" t="n">
        <v>1</v>
      </c>
      <c r="E30" s="3" t="n">
        <f aca="false">B30+C30+D30</f>
        <v>6</v>
      </c>
      <c r="F30" s="4" t="n">
        <f aca="false">E30/30</f>
        <v>0.2</v>
      </c>
      <c r="G30" s="2" t="str">
        <f aca="false">IF(E30&lt;=9,"A1",IF(E30&lt;=14,"A2",IF(E30&lt;=20,"B1",IF(E30&lt;=25,"B2","C1"))))</f>
        <v>A1</v>
      </c>
      <c r="H30" s="2" t="str">
        <f aca="false">IF(G30="A1","Basic English Foundation",IF(G30="A2","Elementary English",IF(G30="B1","Intermediate English",IF(G30="B2","Upper-Intermediate English","Advanced English"))))</f>
        <v>Basic English Foundation</v>
      </c>
    </row>
    <row r="31" customFormat="false" ht="15" hidden="false" customHeight="false" outlineLevel="0" collapsed="false">
      <c r="A31" s="2" t="s">
        <v>37</v>
      </c>
      <c r="B31" s="3" t="n">
        <v>5</v>
      </c>
      <c r="C31" s="3" t="n">
        <v>7</v>
      </c>
      <c r="D31" s="3" t="n">
        <v>7</v>
      </c>
      <c r="E31" s="3" t="n">
        <f aca="false">B31+C31+D31</f>
        <v>19</v>
      </c>
      <c r="F31" s="4" t="n">
        <f aca="false">E31/30</f>
        <v>0.633333333333333</v>
      </c>
      <c r="G31" s="2" t="str">
        <f aca="false">IF(E31&lt;=9,"A1",IF(E31&lt;=14,"A2",IF(E31&lt;=20,"B1",IF(E31&lt;=25,"B2","C1"))))</f>
        <v>B1</v>
      </c>
      <c r="H31" s="2" t="str">
        <f aca="false">IF(G31="A1","Basic English Foundation",IF(G31="A2","Elementary English",IF(G31="B1","Intermediate English",IF(G31="B2","Upper-Intermediate English","Advanced English"))))</f>
        <v>Intermediate English</v>
      </c>
    </row>
    <row r="32" customFormat="false" ht="15" hidden="false" customHeight="false" outlineLevel="0" collapsed="false">
      <c r="A32" s="2" t="s">
        <v>38</v>
      </c>
      <c r="B32" s="3" t="n">
        <v>2</v>
      </c>
      <c r="C32" s="3" t="n">
        <v>5</v>
      </c>
      <c r="D32" s="3" t="n">
        <v>5</v>
      </c>
      <c r="E32" s="3" t="n">
        <f aca="false">B32+C32+D32</f>
        <v>12</v>
      </c>
      <c r="F32" s="4" t="n">
        <f aca="false">E32/30</f>
        <v>0.4</v>
      </c>
      <c r="G32" s="2" t="str">
        <f aca="false">IF(E32&lt;=9,"A1",IF(E32&lt;=14,"A2",IF(E32&lt;=20,"B1",IF(E32&lt;=25,"B2","C1"))))</f>
        <v>A2</v>
      </c>
      <c r="H32" s="2" t="str">
        <f aca="false">IF(G32="A1","Basic English Foundation",IF(G32="A2","Elementary English",IF(G32="B1","Intermediate English",IF(G32="B2","Upper-Intermediate English","Advanced English"))))</f>
        <v>Elementary English</v>
      </c>
    </row>
    <row r="33" customFormat="false" ht="15" hidden="false" customHeight="false" outlineLevel="0" collapsed="false">
      <c r="A33" s="2" t="s">
        <v>39</v>
      </c>
      <c r="B33" s="3" t="n">
        <v>8</v>
      </c>
      <c r="C33" s="3" t="n">
        <v>5</v>
      </c>
      <c r="D33" s="3" t="n">
        <v>5</v>
      </c>
      <c r="E33" s="3" t="n">
        <f aca="false">B33+C33+D33</f>
        <v>18</v>
      </c>
      <c r="F33" s="4" t="n">
        <f aca="false">E33/30</f>
        <v>0.6</v>
      </c>
      <c r="G33" s="2" t="str">
        <f aca="false">IF(E33&lt;=9,"A1",IF(E33&lt;=14,"A2",IF(E33&lt;=20,"B1",IF(E33&lt;=25,"B2","C1"))))</f>
        <v>B1</v>
      </c>
      <c r="H33" s="2" t="str">
        <f aca="false">IF(G33="A1","Basic English Foundation",IF(G33="A2","Elementary English",IF(G33="B1","Intermediate English",IF(G33="B2","Upper-Intermediate English","Advanced English"))))</f>
        <v>Intermediate English</v>
      </c>
    </row>
    <row r="34" customFormat="false" ht="15" hidden="false" customHeight="false" outlineLevel="0" collapsed="false">
      <c r="A34" s="2" t="s">
        <v>40</v>
      </c>
      <c r="B34" s="3" t="n">
        <v>4</v>
      </c>
      <c r="C34" s="3" t="n">
        <v>3</v>
      </c>
      <c r="D34" s="3" t="n">
        <v>2</v>
      </c>
      <c r="E34" s="3" t="n">
        <f aca="false">B34+C34+D34</f>
        <v>9</v>
      </c>
      <c r="F34" s="4" t="n">
        <f aca="false">E34/30</f>
        <v>0.3</v>
      </c>
      <c r="G34" s="2" t="str">
        <f aca="false">IF(E34&lt;=9,"A1",IF(E34&lt;=14,"A2",IF(E34&lt;=20,"B1",IF(E34&lt;=25,"B2","C1"))))</f>
        <v>A1</v>
      </c>
      <c r="H34" s="2" t="str">
        <f aca="false">IF(G34="A1","Basic English Foundation",IF(G34="A2","Elementary English",IF(G34="B1","Intermediate English",IF(G34="B2","Upper-Intermediate English","Advanced English"))))</f>
        <v>Basic English Foundation</v>
      </c>
    </row>
    <row r="35" customFormat="false" ht="15" hidden="false" customHeight="false" outlineLevel="0" collapsed="false">
      <c r="A35" s="2" t="s">
        <v>41</v>
      </c>
      <c r="B35" s="3" t="n">
        <v>3</v>
      </c>
      <c r="C35" s="3" t="n">
        <v>2</v>
      </c>
      <c r="D35" s="3" t="n">
        <v>4</v>
      </c>
      <c r="E35" s="3" t="n">
        <f aca="false">B35+C35+D35</f>
        <v>9</v>
      </c>
      <c r="F35" s="4" t="n">
        <f aca="false">E35/30</f>
        <v>0.3</v>
      </c>
      <c r="G35" s="2" t="str">
        <f aca="false">IF(E35&lt;=9,"A1",IF(E35&lt;=14,"A2",IF(E35&lt;=20,"B1",IF(E35&lt;=25,"B2","C1"))))</f>
        <v>A1</v>
      </c>
      <c r="H35" s="2" t="str">
        <f aca="false">IF(G35="A1","Basic English Foundation",IF(G35="A2","Elementary English",IF(G35="B1","Intermediate English",IF(G35="B2","Upper-Intermediate English","Advanced English"))))</f>
        <v>Basic English Foundation</v>
      </c>
    </row>
    <row r="36" customFormat="false" ht="15" hidden="false" customHeight="false" outlineLevel="0" collapsed="false">
      <c r="A36" s="2" t="s">
        <v>42</v>
      </c>
      <c r="B36" s="3" t="n">
        <v>8</v>
      </c>
      <c r="C36" s="3" t="n">
        <v>7</v>
      </c>
      <c r="D36" s="3" t="n">
        <v>7</v>
      </c>
      <c r="E36" s="3" t="n">
        <f aca="false">B36+C36+D36</f>
        <v>22</v>
      </c>
      <c r="F36" s="4" t="n">
        <f aca="false">E36/30</f>
        <v>0.733333333333333</v>
      </c>
      <c r="G36" s="2" t="str">
        <f aca="false">IF(E36&lt;=9,"A1",IF(E36&lt;=14,"A2",IF(E36&lt;=20,"B1",IF(E36&lt;=25,"B2","C1"))))</f>
        <v>B2</v>
      </c>
      <c r="H36" s="2" t="str">
        <f aca="false">IF(G36="A1","Basic English Foundation",IF(G36="A2","Elementary English",IF(G36="B1","Intermediate English",IF(G36="B2","Upper-Intermediate English","Advanced English"))))</f>
        <v>Upper-Intermediate English</v>
      </c>
    </row>
    <row r="37" customFormat="false" ht="15" hidden="false" customHeight="false" outlineLevel="0" collapsed="false">
      <c r="A37" s="2" t="s">
        <v>43</v>
      </c>
      <c r="B37" s="3" t="n">
        <v>1</v>
      </c>
      <c r="C37" s="3" t="n">
        <v>4</v>
      </c>
      <c r="D37" s="3" t="n">
        <v>1</v>
      </c>
      <c r="E37" s="3" t="n">
        <f aca="false">B37+C37+D37</f>
        <v>6</v>
      </c>
      <c r="F37" s="4" t="n">
        <f aca="false">E37/30</f>
        <v>0.2</v>
      </c>
      <c r="G37" s="2" t="str">
        <f aca="false">IF(E37&lt;=9,"A1",IF(E37&lt;=14,"A2",IF(E37&lt;=20,"B1",IF(E37&lt;=25,"B2","C1"))))</f>
        <v>A1</v>
      </c>
      <c r="H37" s="2" t="str">
        <f aca="false">IF(G37="A1","Basic English Foundation",IF(G37="A2","Elementary English",IF(G37="B1","Intermediate English",IF(G37="B2","Upper-Intermediate English","Advanced English"))))</f>
        <v>Basic English Foundation</v>
      </c>
    </row>
    <row r="38" customFormat="false" ht="15" hidden="false" customHeight="false" outlineLevel="0" collapsed="false">
      <c r="A38" s="2" t="s">
        <v>44</v>
      </c>
      <c r="B38" s="3" t="n">
        <v>10</v>
      </c>
      <c r="C38" s="3" t="n">
        <v>10</v>
      </c>
      <c r="D38" s="3" t="n">
        <v>8</v>
      </c>
      <c r="E38" s="3" t="n">
        <f aca="false">B38+C38+D38</f>
        <v>28</v>
      </c>
      <c r="F38" s="4" t="n">
        <f aca="false">E38/30</f>
        <v>0.933333333333333</v>
      </c>
      <c r="G38" s="2" t="str">
        <f aca="false">IF(E38&lt;=9,"A1",IF(E38&lt;=14,"A2",IF(E38&lt;=20,"B1",IF(E38&lt;=25,"B2","C1"))))</f>
        <v>C1</v>
      </c>
      <c r="H38" s="2" t="str">
        <f aca="false">IF(G38="A1","Basic English Foundation",IF(G38="A2","Elementary English",IF(G38="B1","Intermediate English",IF(G38="B2","Upper-Intermediate English","Advanced English"))))</f>
        <v>Advanced English</v>
      </c>
    </row>
    <row r="39" customFormat="false" ht="15" hidden="false" customHeight="false" outlineLevel="0" collapsed="false">
      <c r="A39" s="2" t="s">
        <v>45</v>
      </c>
      <c r="B39" s="3" t="n">
        <v>9</v>
      </c>
      <c r="C39" s="3" t="n">
        <v>9</v>
      </c>
      <c r="D39" s="3" t="n">
        <v>10</v>
      </c>
      <c r="E39" s="3" t="n">
        <f aca="false">B39+C39+D39</f>
        <v>28</v>
      </c>
      <c r="F39" s="4" t="n">
        <f aca="false">E39/30</f>
        <v>0.933333333333333</v>
      </c>
      <c r="G39" s="2" t="str">
        <f aca="false">IF(E39&lt;=9,"A1",IF(E39&lt;=14,"A2",IF(E39&lt;=20,"B1",IF(E39&lt;=25,"B2","C1"))))</f>
        <v>C1</v>
      </c>
      <c r="H39" s="2" t="str">
        <f aca="false">IF(G39="A1","Basic English Foundation",IF(G39="A2","Elementary English",IF(G39="B1","Intermediate English",IF(G39="B2","Upper-Intermediate English","Advanced English"))))</f>
        <v>Advanced English</v>
      </c>
    </row>
    <row r="40" customFormat="false" ht="15" hidden="false" customHeight="false" outlineLevel="0" collapsed="false">
      <c r="A40" s="2" t="s">
        <v>46</v>
      </c>
      <c r="B40" s="3" t="n">
        <v>6</v>
      </c>
      <c r="C40" s="3" t="n">
        <v>3</v>
      </c>
      <c r="D40" s="3" t="n">
        <v>5</v>
      </c>
      <c r="E40" s="3" t="n">
        <f aca="false">B40+C40+D40</f>
        <v>14</v>
      </c>
      <c r="F40" s="4" t="n">
        <f aca="false">E40/30</f>
        <v>0.466666666666667</v>
      </c>
      <c r="G40" s="2" t="str">
        <f aca="false">IF(E40&lt;=9,"A1",IF(E40&lt;=14,"A2",IF(E40&lt;=20,"B1",IF(E40&lt;=25,"B2","C1"))))</f>
        <v>A2</v>
      </c>
      <c r="H40" s="2" t="str">
        <f aca="false">IF(G40="A1","Basic English Foundation",IF(G40="A2","Elementary English",IF(G40="B1","Intermediate English",IF(G40="B2","Upper-Intermediate English","Advanced English"))))</f>
        <v>Elementary English</v>
      </c>
    </row>
    <row r="41" customFormat="false" ht="15" hidden="false" customHeight="false" outlineLevel="0" collapsed="false">
      <c r="A41" s="2" t="s">
        <v>47</v>
      </c>
      <c r="B41" s="3" t="n">
        <v>4</v>
      </c>
      <c r="C41" s="3" t="n">
        <v>3</v>
      </c>
      <c r="D41" s="3" t="n">
        <v>1</v>
      </c>
      <c r="E41" s="3" t="n">
        <f aca="false">B41+C41+D41</f>
        <v>8</v>
      </c>
      <c r="F41" s="4" t="n">
        <f aca="false">E41/30</f>
        <v>0.266666666666667</v>
      </c>
      <c r="G41" s="2" t="str">
        <f aca="false">IF(E41&lt;=9,"A1",IF(E41&lt;=14,"A2",IF(E41&lt;=20,"B1",IF(E41&lt;=25,"B2","C1"))))</f>
        <v>A1</v>
      </c>
      <c r="H41" s="2" t="str">
        <f aca="false">IF(G41="A1","Basic English Foundation",IF(G41="A2","Elementary English",IF(G41="B1","Intermediate English",IF(G41="B2","Upper-Intermediate English","Advanced English"))))</f>
        <v>Basic English Foundation</v>
      </c>
    </row>
    <row r="42" customFormat="false" ht="15" hidden="false" customHeight="false" outlineLevel="0" collapsed="false">
      <c r="A42" s="2" t="s">
        <v>48</v>
      </c>
      <c r="B42" s="3" t="n">
        <v>2</v>
      </c>
      <c r="C42" s="3" t="n">
        <v>0</v>
      </c>
      <c r="D42" s="3" t="n">
        <v>3</v>
      </c>
      <c r="E42" s="3" t="n">
        <f aca="false">B42+C42+D42</f>
        <v>5</v>
      </c>
      <c r="F42" s="4" t="n">
        <f aca="false">E42/30</f>
        <v>0.166666666666667</v>
      </c>
      <c r="G42" s="2" t="str">
        <f aca="false">IF(E42&lt;=9,"A1",IF(E42&lt;=14,"A2",IF(E42&lt;=20,"B1",IF(E42&lt;=25,"B2","C1"))))</f>
        <v>A1</v>
      </c>
      <c r="H42" s="2" t="str">
        <f aca="false">IF(G42="A1","Basic English Foundation",IF(G42="A2","Elementary English",IF(G42="B1","Intermediate English",IF(G42="B2","Upper-Intermediate English","Advanced English"))))</f>
        <v>Basic English Foundation</v>
      </c>
    </row>
    <row r="43" customFormat="false" ht="15" hidden="false" customHeight="false" outlineLevel="0" collapsed="false">
      <c r="A43" s="2" t="s">
        <v>49</v>
      </c>
      <c r="B43" s="3" t="n">
        <v>5</v>
      </c>
      <c r="C43" s="3" t="n">
        <v>2</v>
      </c>
      <c r="D43" s="3" t="n">
        <v>4</v>
      </c>
      <c r="E43" s="3" t="n">
        <f aca="false">B43+C43+D43</f>
        <v>11</v>
      </c>
      <c r="F43" s="4" t="n">
        <f aca="false">E43/30</f>
        <v>0.366666666666667</v>
      </c>
      <c r="G43" s="2" t="str">
        <f aca="false">IF(E43&lt;=9,"A1",IF(E43&lt;=14,"A2",IF(E43&lt;=20,"B1",IF(E43&lt;=25,"B2","C1"))))</f>
        <v>A2</v>
      </c>
      <c r="H43" s="2" t="str">
        <f aca="false">IF(G43="A1","Basic English Foundation",IF(G43="A2","Elementary English",IF(G43="B1","Intermediate English",IF(G43="B2","Upper-Intermediate English","Advanced English"))))</f>
        <v>Elementary English</v>
      </c>
    </row>
    <row r="44" customFormat="false" ht="15" hidden="false" customHeight="false" outlineLevel="0" collapsed="false">
      <c r="A44" s="2" t="s">
        <v>50</v>
      </c>
      <c r="B44" s="3" t="n">
        <v>5</v>
      </c>
      <c r="C44" s="3" t="n">
        <v>6</v>
      </c>
      <c r="D44" s="3" t="n">
        <v>5</v>
      </c>
      <c r="E44" s="3" t="n">
        <f aca="false">B44+C44+D44</f>
        <v>16</v>
      </c>
      <c r="F44" s="4" t="n">
        <f aca="false">E44/30</f>
        <v>0.533333333333333</v>
      </c>
      <c r="G44" s="2" t="str">
        <f aca="false">IF(E44&lt;=9,"A1",IF(E44&lt;=14,"A2",IF(E44&lt;=20,"B1",IF(E44&lt;=25,"B2","C1"))))</f>
        <v>B1</v>
      </c>
      <c r="H44" s="2" t="str">
        <f aca="false">IF(G44="A1","Basic English Foundation",IF(G44="A2","Elementary English",IF(G44="B1","Intermediate English",IF(G44="B2","Upper-Intermediate English","Advanced English"))))</f>
        <v>Intermediate English</v>
      </c>
    </row>
    <row r="45" customFormat="false" ht="15" hidden="false" customHeight="false" outlineLevel="0" collapsed="false">
      <c r="A45" s="2" t="s">
        <v>51</v>
      </c>
      <c r="B45" s="3" t="n">
        <v>7</v>
      </c>
      <c r="C45" s="3" t="n">
        <v>6</v>
      </c>
      <c r="D45" s="3" t="n">
        <v>5</v>
      </c>
      <c r="E45" s="3" t="n">
        <f aca="false">B45+C45+D45</f>
        <v>18</v>
      </c>
      <c r="F45" s="4" t="n">
        <f aca="false">E45/30</f>
        <v>0.6</v>
      </c>
      <c r="G45" s="2" t="str">
        <f aca="false">IF(E45&lt;=9,"A1",IF(E45&lt;=14,"A2",IF(E45&lt;=20,"B1",IF(E45&lt;=25,"B2","C1"))))</f>
        <v>B1</v>
      </c>
      <c r="H45" s="2" t="str">
        <f aca="false">IF(G45="A1","Basic English Foundation",IF(G45="A2","Elementary English",IF(G45="B1","Intermediate English",IF(G45="B2","Upper-Intermediate English","Advanced English"))))</f>
        <v>Intermediate English</v>
      </c>
    </row>
    <row r="46" customFormat="false" ht="15" hidden="false" customHeight="false" outlineLevel="0" collapsed="false">
      <c r="A46" s="2" t="s">
        <v>52</v>
      </c>
      <c r="B46" s="3" t="n">
        <v>5</v>
      </c>
      <c r="C46" s="3" t="n">
        <v>3</v>
      </c>
      <c r="D46" s="3" t="n">
        <v>5</v>
      </c>
      <c r="E46" s="3" t="n">
        <f aca="false">B46+C46+D46</f>
        <v>13</v>
      </c>
      <c r="F46" s="4" t="n">
        <f aca="false">E46/30</f>
        <v>0.433333333333333</v>
      </c>
      <c r="G46" s="2" t="str">
        <f aca="false">IF(E46&lt;=9,"A1",IF(E46&lt;=14,"A2",IF(E46&lt;=20,"B1",IF(E46&lt;=25,"B2","C1"))))</f>
        <v>A2</v>
      </c>
      <c r="H46" s="2" t="str">
        <f aca="false">IF(G46="A1","Basic English Foundation",IF(G46="A2","Elementary English",IF(G46="B1","Intermediate English",IF(G46="B2","Upper-Intermediate English","Advanced English"))))</f>
        <v>Elementary English</v>
      </c>
    </row>
    <row r="47" customFormat="false" ht="15" hidden="false" customHeight="false" outlineLevel="0" collapsed="false">
      <c r="A47" s="2" t="s">
        <v>53</v>
      </c>
      <c r="B47" s="3" t="n">
        <v>6</v>
      </c>
      <c r="C47" s="3" t="n">
        <v>5</v>
      </c>
      <c r="D47" s="3" t="n">
        <v>9</v>
      </c>
      <c r="E47" s="3" t="n">
        <f aca="false">B47+C47+D47</f>
        <v>20</v>
      </c>
      <c r="F47" s="4" t="n">
        <f aca="false">E47/30</f>
        <v>0.666666666666667</v>
      </c>
      <c r="G47" s="2" t="str">
        <f aca="false">IF(E47&lt;=9,"A1",IF(E47&lt;=14,"A2",IF(E47&lt;=20,"B1",IF(E47&lt;=25,"B2","C1"))))</f>
        <v>B1</v>
      </c>
      <c r="H47" s="2" t="str">
        <f aca="false">IF(G47="A1","Basic English Foundation",IF(G47="A2","Elementary English",IF(G47="B1","Intermediate English",IF(G47="B2","Upper-Intermediate English","Advanced English"))))</f>
        <v>Intermediate English</v>
      </c>
    </row>
    <row r="48" customFormat="false" ht="15" hidden="false" customHeight="false" outlineLevel="0" collapsed="false">
      <c r="A48" s="2" t="s">
        <v>54</v>
      </c>
      <c r="B48" s="3" t="n">
        <v>2</v>
      </c>
      <c r="C48" s="3" t="n">
        <v>4</v>
      </c>
      <c r="D48" s="3" t="n">
        <v>3</v>
      </c>
      <c r="E48" s="3" t="n">
        <f aca="false">B48+C48+D48</f>
        <v>9</v>
      </c>
      <c r="F48" s="4" t="n">
        <f aca="false">E48/30</f>
        <v>0.3</v>
      </c>
      <c r="G48" s="2" t="str">
        <f aca="false">IF(E48&lt;=9,"A1",IF(E48&lt;=14,"A2",IF(E48&lt;=20,"B1",IF(E48&lt;=25,"B2","C1"))))</f>
        <v>A1</v>
      </c>
      <c r="H48" s="2" t="str">
        <f aca="false">IF(G48="A1","Basic English Foundation",IF(G48="A2","Elementary English",IF(G48="B1","Intermediate English",IF(G48="B2","Upper-Intermediate English","Advanced English"))))</f>
        <v>Basic English Foundation</v>
      </c>
    </row>
    <row r="49" customFormat="false" ht="15" hidden="false" customHeight="false" outlineLevel="0" collapsed="false">
      <c r="A49" s="2" t="s">
        <v>55</v>
      </c>
      <c r="B49" s="3" t="n">
        <v>3</v>
      </c>
      <c r="C49" s="3" t="n">
        <v>3</v>
      </c>
      <c r="D49" s="3" t="n">
        <v>4</v>
      </c>
      <c r="E49" s="3" t="n">
        <f aca="false">B49+C49+D49</f>
        <v>10</v>
      </c>
      <c r="F49" s="4" t="n">
        <f aca="false">E49/30</f>
        <v>0.333333333333333</v>
      </c>
      <c r="G49" s="2" t="str">
        <f aca="false">IF(E49&lt;=9,"A1",IF(E49&lt;=14,"A2",IF(E49&lt;=20,"B1",IF(E49&lt;=25,"B2","C1"))))</f>
        <v>A2</v>
      </c>
      <c r="H49" s="2" t="str">
        <f aca="false">IF(G49="A1","Basic English Foundation",IF(G49="A2","Elementary English",IF(G49="B1","Intermediate English",IF(G49="B2","Upper-Intermediate English","Advanced English"))))</f>
        <v>Elementary English</v>
      </c>
    </row>
    <row r="50" customFormat="false" ht="15" hidden="false" customHeight="false" outlineLevel="0" collapsed="false">
      <c r="A50" s="2" t="s">
        <v>56</v>
      </c>
      <c r="B50" s="3" t="n">
        <v>1</v>
      </c>
      <c r="C50" s="3" t="n">
        <v>3</v>
      </c>
      <c r="D50" s="3" t="n">
        <v>1</v>
      </c>
      <c r="E50" s="3" t="n">
        <f aca="false">B50+C50+D50</f>
        <v>5</v>
      </c>
      <c r="F50" s="4" t="n">
        <f aca="false">E50/30</f>
        <v>0.166666666666667</v>
      </c>
      <c r="G50" s="2" t="str">
        <f aca="false">IF(E50&lt;=9,"A1",IF(E50&lt;=14,"A2",IF(E50&lt;=20,"B1",IF(E50&lt;=25,"B2","C1"))))</f>
        <v>A1</v>
      </c>
      <c r="H50" s="2" t="str">
        <f aca="false">IF(G50="A1","Basic English Foundation",IF(G50="A2","Elementary English",IF(G50="B1","Intermediate English",IF(G50="B2","Upper-Intermediate English","Advanced English"))))</f>
        <v>Basic English Foundation</v>
      </c>
    </row>
    <row r="51" customFormat="false" ht="15" hidden="false" customHeight="false" outlineLevel="0" collapsed="false">
      <c r="A51" s="2" t="s">
        <v>57</v>
      </c>
      <c r="B51" s="3" t="n">
        <v>6</v>
      </c>
      <c r="C51" s="3" t="n">
        <v>4</v>
      </c>
      <c r="D51" s="3" t="n">
        <v>6</v>
      </c>
      <c r="E51" s="3" t="n">
        <f aca="false">B51+C51+D51</f>
        <v>16</v>
      </c>
      <c r="F51" s="4" t="n">
        <f aca="false">E51/30</f>
        <v>0.533333333333333</v>
      </c>
      <c r="G51" s="2" t="str">
        <f aca="false">IF(E51&lt;=9,"A1",IF(E51&lt;=14,"A2",IF(E51&lt;=20,"B1",IF(E51&lt;=25,"B2","C1"))))</f>
        <v>B1</v>
      </c>
      <c r="H51" s="2" t="str">
        <f aca="false">IF(G51="A1","Basic English Foundation",IF(G51="A2","Elementary English",IF(G51="B1","Intermediate English",IF(G51="B2","Upper-Intermediate English","Advanced English"))))</f>
        <v>Intermediate English</v>
      </c>
    </row>
    <row r="52" customFormat="false" ht="15" hidden="false" customHeight="false" outlineLevel="0" collapsed="false">
      <c r="A52" s="2" t="s">
        <v>58</v>
      </c>
      <c r="B52" s="3" t="n">
        <v>4</v>
      </c>
      <c r="C52" s="3" t="n">
        <v>3</v>
      </c>
      <c r="D52" s="3" t="n">
        <v>4</v>
      </c>
      <c r="E52" s="3" t="n">
        <f aca="false">B52+C52+D52</f>
        <v>11</v>
      </c>
      <c r="F52" s="4" t="n">
        <f aca="false">E52/30</f>
        <v>0.366666666666667</v>
      </c>
      <c r="G52" s="2" t="str">
        <f aca="false">IF(E52&lt;=9,"A1",IF(E52&lt;=14,"A2",IF(E52&lt;=20,"B1",IF(E52&lt;=25,"B2","C1"))))</f>
        <v>A2</v>
      </c>
      <c r="H52" s="2" t="str">
        <f aca="false">IF(G52="A1","Basic English Foundation",IF(G52="A2","Elementary English",IF(G52="B1","Intermediate English",IF(G52="B2","Upper-Intermediate English","Advanced English"))))</f>
        <v>Elementary English</v>
      </c>
    </row>
    <row r="53" customFormat="false" ht="15" hidden="false" customHeight="false" outlineLevel="0" collapsed="false">
      <c r="A53" s="2" t="s">
        <v>59</v>
      </c>
      <c r="B53" s="3" t="n">
        <v>5</v>
      </c>
      <c r="C53" s="3" t="n">
        <v>2</v>
      </c>
      <c r="D53" s="3" t="n">
        <v>1</v>
      </c>
      <c r="E53" s="3" t="n">
        <f aca="false">B53+C53+D53</f>
        <v>8</v>
      </c>
      <c r="F53" s="4" t="n">
        <f aca="false">E53/30</f>
        <v>0.266666666666667</v>
      </c>
      <c r="G53" s="2" t="str">
        <f aca="false">IF(E53&lt;=9,"A1",IF(E53&lt;=14,"A2",IF(E53&lt;=20,"B1",IF(E53&lt;=25,"B2","C1"))))</f>
        <v>A1</v>
      </c>
      <c r="H53" s="2" t="str">
        <f aca="false">IF(G53="A1","Basic English Foundation",IF(G53="A2","Elementary English",IF(G53="B1","Intermediate English",IF(G53="B2","Upper-Intermediate English","Advanced English"))))</f>
        <v>Basic English Foundation</v>
      </c>
    </row>
    <row r="54" customFormat="false" ht="15" hidden="false" customHeight="false" outlineLevel="0" collapsed="false">
      <c r="A54" s="2" t="s">
        <v>60</v>
      </c>
      <c r="B54" s="3" t="n">
        <v>10</v>
      </c>
      <c r="C54" s="3" t="n">
        <v>10</v>
      </c>
      <c r="D54" s="3" t="n">
        <v>7</v>
      </c>
      <c r="E54" s="3" t="n">
        <f aca="false">B54+C54+D54</f>
        <v>27</v>
      </c>
      <c r="F54" s="4" t="n">
        <f aca="false">E54/30</f>
        <v>0.9</v>
      </c>
      <c r="G54" s="2" t="str">
        <f aca="false">IF(E54&lt;=9,"A1",IF(E54&lt;=14,"A2",IF(E54&lt;=20,"B1",IF(E54&lt;=25,"B2","C1"))))</f>
        <v>C1</v>
      </c>
      <c r="H54" s="2" t="str">
        <f aca="false">IF(G54="A1","Basic English Foundation",IF(G54="A2","Elementary English",IF(G54="B1","Intermediate English",IF(G54="B2","Upper-Intermediate English","Advanced English"))))</f>
        <v>Advanced English</v>
      </c>
    </row>
    <row r="55" customFormat="false" ht="15" hidden="false" customHeight="false" outlineLevel="0" collapsed="false">
      <c r="A55" s="2" t="s">
        <v>61</v>
      </c>
      <c r="B55" s="3" t="n">
        <v>6</v>
      </c>
      <c r="C55" s="3" t="n">
        <v>5</v>
      </c>
      <c r="D55" s="3" t="n">
        <v>5</v>
      </c>
      <c r="E55" s="3" t="n">
        <f aca="false">B55+C55+D55</f>
        <v>16</v>
      </c>
      <c r="F55" s="4" t="n">
        <f aca="false">E55/30</f>
        <v>0.533333333333333</v>
      </c>
      <c r="G55" s="2" t="str">
        <f aca="false">IF(E55&lt;=9,"A1",IF(E55&lt;=14,"A2",IF(E55&lt;=20,"B1",IF(E55&lt;=25,"B2","C1"))))</f>
        <v>B1</v>
      </c>
      <c r="H55" s="2" t="str">
        <f aca="false">IF(G55="A1","Basic English Foundation",IF(G55="A2","Elementary English",IF(G55="B1","Intermediate English",IF(G55="B2","Upper-Intermediate English","Advanced English"))))</f>
        <v>Intermediate English</v>
      </c>
    </row>
    <row r="56" customFormat="false" ht="15" hidden="false" customHeight="false" outlineLevel="0" collapsed="false">
      <c r="A56" s="2" t="s">
        <v>62</v>
      </c>
      <c r="B56" s="3" t="n">
        <v>9</v>
      </c>
      <c r="C56" s="3" t="n">
        <v>10</v>
      </c>
      <c r="D56" s="3" t="n">
        <v>10</v>
      </c>
      <c r="E56" s="3" t="n">
        <f aca="false">B56+C56+D56</f>
        <v>29</v>
      </c>
      <c r="F56" s="4" t="n">
        <f aca="false">E56/30</f>
        <v>0.966666666666667</v>
      </c>
      <c r="G56" s="2" t="str">
        <f aca="false">IF(E56&lt;=9,"A1",IF(E56&lt;=14,"A2",IF(E56&lt;=20,"B1",IF(E56&lt;=25,"B2","C1"))))</f>
        <v>C1</v>
      </c>
      <c r="H56" s="2" t="str">
        <f aca="false">IF(G56="A1","Basic English Foundation",IF(G56="A2","Elementary English",IF(G56="B1","Intermediate English",IF(G56="B2","Upper-Intermediate English","Advanced English"))))</f>
        <v>Advanced English</v>
      </c>
    </row>
    <row r="57" customFormat="false" ht="15" hidden="false" customHeight="false" outlineLevel="0" collapsed="false">
      <c r="A57" s="2" t="s">
        <v>63</v>
      </c>
      <c r="B57" s="3" t="n">
        <v>7</v>
      </c>
      <c r="C57" s="3" t="n">
        <v>8</v>
      </c>
      <c r="D57" s="3" t="n">
        <v>8</v>
      </c>
      <c r="E57" s="3" t="n">
        <f aca="false">B57+C57+D57</f>
        <v>23</v>
      </c>
      <c r="F57" s="4" t="n">
        <f aca="false">E57/30</f>
        <v>0.766666666666667</v>
      </c>
      <c r="G57" s="2" t="str">
        <f aca="false">IF(E57&lt;=9,"A1",IF(E57&lt;=14,"A2",IF(E57&lt;=20,"B1",IF(E57&lt;=25,"B2","C1"))))</f>
        <v>B2</v>
      </c>
      <c r="H57" s="2" t="str">
        <f aca="false">IF(G57="A1","Basic English Foundation",IF(G57="A2","Elementary English",IF(G57="B1","Intermediate English",IF(G57="B2","Upper-Intermediate English","Advanced English"))))</f>
        <v>Upper-Intermediate English</v>
      </c>
    </row>
    <row r="58" customFormat="false" ht="15" hidden="false" customHeight="false" outlineLevel="0" collapsed="false">
      <c r="A58" s="2" t="s">
        <v>64</v>
      </c>
      <c r="B58" s="3" t="n">
        <v>7</v>
      </c>
      <c r="C58" s="3" t="n">
        <v>7</v>
      </c>
      <c r="D58" s="3" t="n">
        <v>9</v>
      </c>
      <c r="E58" s="3" t="n">
        <f aca="false">B58+C58+D58</f>
        <v>23</v>
      </c>
      <c r="F58" s="4" t="n">
        <f aca="false">E58/30</f>
        <v>0.766666666666667</v>
      </c>
      <c r="G58" s="2" t="str">
        <f aca="false">IF(E58&lt;=9,"A1",IF(E58&lt;=14,"A2",IF(E58&lt;=20,"B1",IF(E58&lt;=25,"B2","C1"))))</f>
        <v>B2</v>
      </c>
      <c r="H58" s="2" t="str">
        <f aca="false">IF(G58="A1","Basic English Foundation",IF(G58="A2","Elementary English",IF(G58="B1","Intermediate English",IF(G58="B2","Upper-Intermediate English","Advanced English"))))</f>
        <v>Upper-Intermediate English</v>
      </c>
    </row>
    <row r="59" customFormat="false" ht="15" hidden="false" customHeight="false" outlineLevel="0" collapsed="false">
      <c r="A59" s="2" t="s">
        <v>65</v>
      </c>
      <c r="B59" s="3" t="n">
        <v>1</v>
      </c>
      <c r="C59" s="3" t="n">
        <v>5</v>
      </c>
      <c r="D59" s="3" t="n">
        <v>0</v>
      </c>
      <c r="E59" s="3" t="n">
        <f aca="false">B59+C59+D59</f>
        <v>6</v>
      </c>
      <c r="F59" s="4" t="n">
        <f aca="false">E59/30</f>
        <v>0.2</v>
      </c>
      <c r="G59" s="2" t="str">
        <f aca="false">IF(E59&lt;=9,"A1",IF(E59&lt;=14,"A2",IF(E59&lt;=20,"B1",IF(E59&lt;=25,"B2","C1"))))</f>
        <v>A1</v>
      </c>
      <c r="H59" s="2" t="str">
        <f aca="false">IF(G59="A1","Basic English Foundation",IF(G59="A2","Elementary English",IF(G59="B1","Intermediate English",IF(G59="B2","Upper-Intermediate English","Advanced English"))))</f>
        <v>Basic English Foundation</v>
      </c>
    </row>
    <row r="60" customFormat="false" ht="15" hidden="false" customHeight="false" outlineLevel="0" collapsed="false">
      <c r="A60" s="2" t="s">
        <v>66</v>
      </c>
      <c r="B60" s="3" t="n">
        <v>3</v>
      </c>
      <c r="C60" s="3" t="n">
        <v>4</v>
      </c>
      <c r="D60" s="3" t="n">
        <v>3</v>
      </c>
      <c r="E60" s="3" t="n">
        <f aca="false">B60+C60+D60</f>
        <v>10</v>
      </c>
      <c r="F60" s="4" t="n">
        <f aca="false">E60/30</f>
        <v>0.333333333333333</v>
      </c>
      <c r="G60" s="2" t="str">
        <f aca="false">IF(E60&lt;=9,"A1",IF(E60&lt;=14,"A2",IF(E60&lt;=20,"B1",IF(E60&lt;=25,"B2","C1"))))</f>
        <v>A2</v>
      </c>
      <c r="H60" s="2" t="str">
        <f aca="false">IF(G60="A1","Basic English Foundation",IF(G60="A2","Elementary English",IF(G60="B1","Intermediate English",IF(G60="B2","Upper-Intermediate English","Advanced English"))))</f>
        <v>Elementary English</v>
      </c>
    </row>
    <row r="61" customFormat="false" ht="15" hidden="false" customHeight="false" outlineLevel="0" collapsed="false">
      <c r="A61" s="2" t="s">
        <v>67</v>
      </c>
      <c r="B61" s="3" t="n">
        <v>5</v>
      </c>
      <c r="C61" s="3" t="n">
        <v>5</v>
      </c>
      <c r="D61" s="3" t="n">
        <v>7</v>
      </c>
      <c r="E61" s="3" t="n">
        <f aca="false">B61+C61+D61</f>
        <v>17</v>
      </c>
      <c r="F61" s="4" t="n">
        <f aca="false">E61/30</f>
        <v>0.566666666666667</v>
      </c>
      <c r="G61" s="2" t="str">
        <f aca="false">IF(E61&lt;=9,"A1",IF(E61&lt;=14,"A2",IF(E61&lt;=20,"B1",IF(E61&lt;=25,"B2","C1"))))</f>
        <v>B1</v>
      </c>
      <c r="H61" s="2" t="str">
        <f aca="false">IF(G61="A1","Basic English Foundation",IF(G61="A2","Elementary English",IF(G61="B1","Intermediate English",IF(G61="B2","Upper-Intermediate English","Advanced English"))))</f>
        <v>Intermediate English</v>
      </c>
    </row>
    <row r="62" customFormat="false" ht="15" hidden="false" customHeight="false" outlineLevel="0" collapsed="false">
      <c r="A62" s="2" t="s">
        <v>68</v>
      </c>
      <c r="B62" s="3" t="n">
        <v>10</v>
      </c>
      <c r="C62" s="3" t="n">
        <v>9</v>
      </c>
      <c r="D62" s="3" t="n">
        <v>9</v>
      </c>
      <c r="E62" s="3" t="n">
        <f aca="false">B62+C62+D62</f>
        <v>28</v>
      </c>
      <c r="F62" s="4" t="n">
        <f aca="false">E62/30</f>
        <v>0.933333333333333</v>
      </c>
      <c r="G62" s="2" t="str">
        <f aca="false">IF(E62&lt;=9,"A1",IF(E62&lt;=14,"A2",IF(E62&lt;=20,"B1",IF(E62&lt;=25,"B2","C1"))))</f>
        <v>C1</v>
      </c>
      <c r="H62" s="2" t="str">
        <f aca="false">IF(G62="A1","Basic English Foundation",IF(G62="A2","Elementary English",IF(G62="B1","Intermediate English",IF(G62="B2","Upper-Intermediate English","Advanced English"))))</f>
        <v>Advanced English</v>
      </c>
    </row>
    <row r="63" customFormat="false" ht="15" hidden="false" customHeight="false" outlineLevel="0" collapsed="false">
      <c r="A63" s="2" t="s">
        <v>69</v>
      </c>
      <c r="B63" s="3" t="n">
        <v>10</v>
      </c>
      <c r="C63" s="3" t="n">
        <v>7</v>
      </c>
      <c r="D63" s="3" t="n">
        <v>10</v>
      </c>
      <c r="E63" s="3" t="n">
        <f aca="false">B63+C63+D63</f>
        <v>27</v>
      </c>
      <c r="F63" s="4" t="n">
        <f aca="false">E63/30</f>
        <v>0.9</v>
      </c>
      <c r="G63" s="2" t="str">
        <f aca="false">IF(E63&lt;=9,"A1",IF(E63&lt;=14,"A2",IF(E63&lt;=20,"B1",IF(E63&lt;=25,"B2","C1"))))</f>
        <v>C1</v>
      </c>
      <c r="H63" s="2" t="str">
        <f aca="false">IF(G63="A1","Basic English Foundation",IF(G63="A2","Elementary English",IF(G63="B1","Intermediate English",IF(G63="B2","Upper-Intermediate English","Advanced English"))))</f>
        <v>Advanced English</v>
      </c>
    </row>
    <row r="64" customFormat="false" ht="15" hidden="false" customHeight="false" outlineLevel="0" collapsed="false">
      <c r="A64" s="2" t="s">
        <v>70</v>
      </c>
      <c r="B64" s="3" t="n">
        <v>7</v>
      </c>
      <c r="C64" s="3" t="n">
        <v>6</v>
      </c>
      <c r="D64" s="3" t="n">
        <v>7</v>
      </c>
      <c r="E64" s="3" t="n">
        <f aca="false">B64+C64+D64</f>
        <v>20</v>
      </c>
      <c r="F64" s="4" t="n">
        <f aca="false">E64/30</f>
        <v>0.666666666666667</v>
      </c>
      <c r="G64" s="2" t="str">
        <f aca="false">IF(E64&lt;=9,"A1",IF(E64&lt;=14,"A2",IF(E64&lt;=20,"B1",IF(E64&lt;=25,"B2","C1"))))</f>
        <v>B1</v>
      </c>
      <c r="H64" s="2" t="str">
        <f aca="false">IF(G64="A1","Basic English Foundation",IF(G64="A2","Elementary English",IF(G64="B1","Intermediate English",IF(G64="B2","Upper-Intermediate English","Advanced English"))))</f>
        <v>Intermediate English</v>
      </c>
    </row>
    <row r="65" customFormat="false" ht="15" hidden="false" customHeight="false" outlineLevel="0" collapsed="false">
      <c r="A65" s="2" t="s">
        <v>71</v>
      </c>
      <c r="B65" s="3" t="n">
        <v>5</v>
      </c>
      <c r="C65" s="3" t="n">
        <v>2</v>
      </c>
      <c r="D65" s="3" t="n">
        <v>2</v>
      </c>
      <c r="E65" s="3" t="n">
        <f aca="false">B65+C65+D65</f>
        <v>9</v>
      </c>
      <c r="F65" s="4" t="n">
        <f aca="false">E65/30</f>
        <v>0.3</v>
      </c>
      <c r="G65" s="2" t="str">
        <f aca="false">IF(E65&lt;=9,"A1",IF(E65&lt;=14,"A2",IF(E65&lt;=20,"B1",IF(E65&lt;=25,"B2","C1"))))</f>
        <v>A1</v>
      </c>
      <c r="H65" s="2" t="str">
        <f aca="false">IF(G65="A1","Basic English Foundation",IF(G65="A2","Elementary English",IF(G65="B1","Intermediate English",IF(G65="B2","Upper-Intermediate English","Advanced English"))))</f>
        <v>Basic English Foundation</v>
      </c>
    </row>
    <row r="66" customFormat="false" ht="15" hidden="false" customHeight="false" outlineLevel="0" collapsed="false">
      <c r="A66" s="2" t="s">
        <v>72</v>
      </c>
      <c r="B66" s="3" t="n">
        <v>7</v>
      </c>
      <c r="C66" s="3" t="n">
        <v>8</v>
      </c>
      <c r="D66" s="3" t="n">
        <v>7</v>
      </c>
      <c r="E66" s="3" t="n">
        <f aca="false">B66+C66+D66</f>
        <v>22</v>
      </c>
      <c r="F66" s="4" t="n">
        <f aca="false">E66/30</f>
        <v>0.733333333333333</v>
      </c>
      <c r="G66" s="2" t="str">
        <f aca="false">IF(E66&lt;=9,"A1",IF(E66&lt;=14,"A2",IF(E66&lt;=20,"B1",IF(E66&lt;=25,"B2","C1"))))</f>
        <v>B2</v>
      </c>
      <c r="H66" s="2" t="str">
        <f aca="false">IF(G66="A1","Basic English Foundation",IF(G66="A2","Elementary English",IF(G66="B1","Intermediate English",IF(G66="B2","Upper-Intermediate English","Advanced English"))))</f>
        <v>Upper-Intermediate English</v>
      </c>
    </row>
    <row r="67" customFormat="false" ht="15" hidden="false" customHeight="false" outlineLevel="0" collapsed="false">
      <c r="A67" s="2" t="s">
        <v>73</v>
      </c>
      <c r="B67" s="3" t="n">
        <v>9</v>
      </c>
      <c r="C67" s="3" t="n">
        <v>4</v>
      </c>
      <c r="D67" s="3" t="n">
        <v>6</v>
      </c>
      <c r="E67" s="3" t="n">
        <f aca="false">B67+C67+D67</f>
        <v>19</v>
      </c>
      <c r="F67" s="4" t="n">
        <f aca="false">E67/30</f>
        <v>0.633333333333333</v>
      </c>
      <c r="G67" s="2" t="str">
        <f aca="false">IF(E67&lt;=9,"A1",IF(E67&lt;=14,"A2",IF(E67&lt;=20,"B1",IF(E67&lt;=25,"B2","C1"))))</f>
        <v>B1</v>
      </c>
      <c r="H67" s="2" t="str">
        <f aca="false">IF(G67="A1","Basic English Foundation",IF(G67="A2","Elementary English",IF(G67="B1","Intermediate English",IF(G67="B2","Upper-Intermediate English","Advanced English"))))</f>
        <v>Intermediate English</v>
      </c>
    </row>
    <row r="68" customFormat="false" ht="15" hidden="false" customHeight="false" outlineLevel="0" collapsed="false">
      <c r="A68" s="2" t="s">
        <v>74</v>
      </c>
      <c r="B68" s="3" t="n">
        <v>4</v>
      </c>
      <c r="C68" s="3" t="n">
        <v>7</v>
      </c>
      <c r="D68" s="3" t="n">
        <v>4</v>
      </c>
      <c r="E68" s="3" t="n">
        <f aca="false">B68+C68+D68</f>
        <v>15</v>
      </c>
      <c r="F68" s="4" t="n">
        <f aca="false">E68/30</f>
        <v>0.5</v>
      </c>
      <c r="G68" s="2" t="str">
        <f aca="false">IF(E68&lt;=9,"A1",IF(E68&lt;=14,"A2",IF(E68&lt;=20,"B1",IF(E68&lt;=25,"B2","C1"))))</f>
        <v>B1</v>
      </c>
      <c r="H68" s="2" t="str">
        <f aca="false">IF(G68="A1","Basic English Foundation",IF(G68="A2","Elementary English",IF(G68="B1","Intermediate English",IF(G68="B2","Upper-Intermediate English","Advanced English"))))</f>
        <v>Intermediate English</v>
      </c>
    </row>
    <row r="69" customFormat="false" ht="15" hidden="false" customHeight="false" outlineLevel="0" collapsed="false">
      <c r="A69" s="2" t="s">
        <v>75</v>
      </c>
      <c r="B69" s="3" t="n">
        <v>4</v>
      </c>
      <c r="C69" s="3" t="n">
        <v>5</v>
      </c>
      <c r="D69" s="3" t="n">
        <v>4</v>
      </c>
      <c r="E69" s="3" t="n">
        <f aca="false">B69+C69+D69</f>
        <v>13</v>
      </c>
      <c r="F69" s="4" t="n">
        <f aca="false">E69/30</f>
        <v>0.433333333333333</v>
      </c>
      <c r="G69" s="2" t="str">
        <f aca="false">IF(E69&lt;=9,"A1",IF(E69&lt;=14,"A2",IF(E69&lt;=20,"B1",IF(E69&lt;=25,"B2","C1"))))</f>
        <v>A2</v>
      </c>
      <c r="H69" s="2" t="str">
        <f aca="false">IF(G69="A1","Basic English Foundation",IF(G69="A2","Elementary English",IF(G69="B1","Intermediate English",IF(G69="B2","Upper-Intermediate English","Advanced English"))))</f>
        <v>Elementary English</v>
      </c>
    </row>
    <row r="70" customFormat="false" ht="15" hidden="false" customHeight="false" outlineLevel="0" collapsed="false">
      <c r="A70" s="2" t="s">
        <v>76</v>
      </c>
      <c r="B70" s="3" t="n">
        <v>7</v>
      </c>
      <c r="C70" s="3" t="n">
        <v>7</v>
      </c>
      <c r="D70" s="3" t="n">
        <v>5</v>
      </c>
      <c r="E70" s="3" t="n">
        <f aca="false">B70+C70+D70</f>
        <v>19</v>
      </c>
      <c r="F70" s="4" t="n">
        <f aca="false">E70/30</f>
        <v>0.633333333333333</v>
      </c>
      <c r="G70" s="2" t="str">
        <f aca="false">IF(E70&lt;=9,"A1",IF(E70&lt;=14,"A2",IF(E70&lt;=20,"B1",IF(E70&lt;=25,"B2","C1"))))</f>
        <v>B1</v>
      </c>
      <c r="H70" s="2" t="str">
        <f aca="false">IF(G70="A1","Basic English Foundation",IF(G70="A2","Elementary English",IF(G70="B1","Intermediate English",IF(G70="B2","Upper-Intermediate English","Advanced English"))))</f>
        <v>Intermediate English</v>
      </c>
    </row>
    <row r="71" customFormat="false" ht="15" hidden="false" customHeight="false" outlineLevel="0" collapsed="false">
      <c r="A71" s="2" t="s">
        <v>77</v>
      </c>
      <c r="B71" s="3" t="n">
        <v>6</v>
      </c>
      <c r="C71" s="3" t="n">
        <v>8</v>
      </c>
      <c r="D71" s="3" t="n">
        <v>7</v>
      </c>
      <c r="E71" s="3" t="n">
        <f aca="false">B71+C71+D71</f>
        <v>21</v>
      </c>
      <c r="F71" s="4" t="n">
        <f aca="false">E71/30</f>
        <v>0.7</v>
      </c>
      <c r="G71" s="2" t="str">
        <f aca="false">IF(E71&lt;=9,"A1",IF(E71&lt;=14,"A2",IF(E71&lt;=20,"B1",IF(E71&lt;=25,"B2","C1"))))</f>
        <v>B2</v>
      </c>
      <c r="H71" s="2" t="str">
        <f aca="false">IF(G71="A1","Basic English Foundation",IF(G71="A2","Elementary English",IF(G71="B1","Intermediate English",IF(G71="B2","Upper-Intermediate English","Advanced English"))))</f>
        <v>Upper-Intermediate English</v>
      </c>
    </row>
    <row r="72" customFormat="false" ht="15" hidden="false" customHeight="false" outlineLevel="0" collapsed="false">
      <c r="A72" s="2" t="s">
        <v>78</v>
      </c>
      <c r="B72" s="3" t="n">
        <v>7</v>
      </c>
      <c r="C72" s="3" t="n">
        <v>7</v>
      </c>
      <c r="D72" s="3" t="n">
        <v>8</v>
      </c>
      <c r="E72" s="3" t="n">
        <f aca="false">B72+C72+D72</f>
        <v>22</v>
      </c>
      <c r="F72" s="4" t="n">
        <f aca="false">E72/30</f>
        <v>0.733333333333333</v>
      </c>
      <c r="G72" s="2" t="str">
        <f aca="false">IF(E72&lt;=9,"A1",IF(E72&lt;=14,"A2",IF(E72&lt;=20,"B1",IF(E72&lt;=25,"B2","C1"))))</f>
        <v>B2</v>
      </c>
      <c r="H72" s="2" t="str">
        <f aca="false">IF(G72="A1","Basic English Foundation",IF(G72="A2","Elementary English",IF(G72="B1","Intermediate English",IF(G72="B2","Upper-Intermediate English","Advanced English"))))</f>
        <v>Upper-Intermediate English</v>
      </c>
    </row>
    <row r="73" customFormat="false" ht="15" hidden="false" customHeight="false" outlineLevel="0" collapsed="false">
      <c r="A73" s="2" t="s">
        <v>79</v>
      </c>
      <c r="B73" s="3" t="n">
        <v>6</v>
      </c>
      <c r="C73" s="3" t="n">
        <v>8</v>
      </c>
      <c r="D73" s="3" t="n">
        <v>4</v>
      </c>
      <c r="E73" s="3" t="n">
        <f aca="false">B73+C73+D73</f>
        <v>18</v>
      </c>
      <c r="F73" s="4" t="n">
        <f aca="false">E73/30</f>
        <v>0.6</v>
      </c>
      <c r="G73" s="2" t="str">
        <f aca="false">IF(E73&lt;=9,"A1",IF(E73&lt;=14,"A2",IF(E73&lt;=20,"B1",IF(E73&lt;=25,"B2","C1"))))</f>
        <v>B1</v>
      </c>
      <c r="H73" s="2" t="str">
        <f aca="false">IF(G73="A1","Basic English Foundation",IF(G73="A2","Elementary English",IF(G73="B1","Intermediate English",IF(G73="B2","Upper-Intermediate English","Advanced English"))))</f>
        <v>Intermediate English</v>
      </c>
    </row>
    <row r="74" customFormat="false" ht="15" hidden="false" customHeight="false" outlineLevel="0" collapsed="false">
      <c r="A74" s="2" t="s">
        <v>80</v>
      </c>
      <c r="B74" s="3" t="n">
        <v>6</v>
      </c>
      <c r="C74" s="3" t="n">
        <v>5</v>
      </c>
      <c r="D74" s="3" t="n">
        <v>6</v>
      </c>
      <c r="E74" s="3" t="n">
        <f aca="false">B74+C74+D74</f>
        <v>17</v>
      </c>
      <c r="F74" s="4" t="n">
        <f aca="false">E74/30</f>
        <v>0.566666666666667</v>
      </c>
      <c r="G74" s="2" t="str">
        <f aca="false">IF(E74&lt;=9,"A1",IF(E74&lt;=14,"A2",IF(E74&lt;=20,"B1",IF(E74&lt;=25,"B2","C1"))))</f>
        <v>B1</v>
      </c>
      <c r="H74" s="2" t="str">
        <f aca="false">IF(G74="A1","Basic English Foundation",IF(G74="A2","Elementary English",IF(G74="B1","Intermediate English",IF(G74="B2","Upper-Intermediate English","Advanced English"))))</f>
        <v>Intermediate English</v>
      </c>
    </row>
    <row r="75" customFormat="false" ht="15" hidden="false" customHeight="false" outlineLevel="0" collapsed="false">
      <c r="A75" s="2" t="s">
        <v>81</v>
      </c>
      <c r="B75" s="3" t="n">
        <v>9</v>
      </c>
      <c r="C75" s="3" t="n">
        <v>9</v>
      </c>
      <c r="D75" s="3" t="n">
        <v>8</v>
      </c>
      <c r="E75" s="3" t="n">
        <f aca="false">B75+C75+D75</f>
        <v>26</v>
      </c>
      <c r="F75" s="4" t="n">
        <f aca="false">E75/30</f>
        <v>0.866666666666667</v>
      </c>
      <c r="G75" s="2" t="str">
        <f aca="false">IF(E75&lt;=9,"A1",IF(E75&lt;=14,"A2",IF(E75&lt;=20,"B1",IF(E75&lt;=25,"B2","C1"))))</f>
        <v>C1</v>
      </c>
      <c r="H75" s="2" t="str">
        <f aca="false">IF(G75="A1","Basic English Foundation",IF(G75="A2","Elementary English",IF(G75="B1","Intermediate English",IF(G75="B2","Upper-Intermediate English","Advanced English"))))</f>
        <v>Advanced English</v>
      </c>
    </row>
    <row r="76" customFormat="false" ht="15" hidden="false" customHeight="false" outlineLevel="0" collapsed="false">
      <c r="A76" s="2" t="s">
        <v>82</v>
      </c>
      <c r="B76" s="3" t="n">
        <v>3</v>
      </c>
      <c r="C76" s="3" t="n">
        <v>1</v>
      </c>
      <c r="D76" s="3" t="n">
        <v>1</v>
      </c>
      <c r="E76" s="3" t="n">
        <f aca="false">B76+C76+D76</f>
        <v>5</v>
      </c>
      <c r="F76" s="4" t="n">
        <f aca="false">E76/30</f>
        <v>0.166666666666667</v>
      </c>
      <c r="G76" s="2" t="str">
        <f aca="false">IF(E76&lt;=9,"A1",IF(E76&lt;=14,"A2",IF(E76&lt;=20,"B1",IF(E76&lt;=25,"B2","C1"))))</f>
        <v>A1</v>
      </c>
      <c r="H76" s="2" t="str">
        <f aca="false">IF(G76="A1","Basic English Foundation",IF(G76="A2","Elementary English",IF(G76="B1","Intermediate English",IF(G76="B2","Upper-Intermediate English","Advanced English"))))</f>
        <v>Basic English Foundation</v>
      </c>
    </row>
    <row r="77" customFormat="false" ht="15" hidden="false" customHeight="false" outlineLevel="0" collapsed="false">
      <c r="A77" s="2" t="s">
        <v>83</v>
      </c>
      <c r="B77" s="3" t="n">
        <v>7</v>
      </c>
      <c r="C77" s="3" t="n">
        <v>8</v>
      </c>
      <c r="D77" s="3" t="n">
        <v>8</v>
      </c>
      <c r="E77" s="3" t="n">
        <f aca="false">B77+C77+D77</f>
        <v>23</v>
      </c>
      <c r="F77" s="4" t="n">
        <f aca="false">E77/30</f>
        <v>0.766666666666667</v>
      </c>
      <c r="G77" s="2" t="str">
        <f aca="false">IF(E77&lt;=9,"A1",IF(E77&lt;=14,"A2",IF(E77&lt;=20,"B1",IF(E77&lt;=25,"B2","C1"))))</f>
        <v>B2</v>
      </c>
      <c r="H77" s="2" t="str">
        <f aca="false">IF(G77="A1","Basic English Foundation",IF(G77="A2","Elementary English",IF(G77="B1","Intermediate English",IF(G77="B2","Upper-Intermediate English","Advanced English"))))</f>
        <v>Upper-Intermediate English</v>
      </c>
    </row>
    <row r="78" customFormat="false" ht="15" hidden="false" customHeight="false" outlineLevel="0" collapsed="false">
      <c r="A78" s="2" t="s">
        <v>84</v>
      </c>
      <c r="B78" s="3" t="n">
        <v>7</v>
      </c>
      <c r="C78" s="3" t="n">
        <v>9</v>
      </c>
      <c r="D78" s="3" t="n">
        <v>8</v>
      </c>
      <c r="E78" s="3" t="n">
        <f aca="false">B78+C78+D78</f>
        <v>24</v>
      </c>
      <c r="F78" s="4" t="n">
        <f aca="false">E78/30</f>
        <v>0.8</v>
      </c>
      <c r="G78" s="2" t="str">
        <f aca="false">IF(E78&lt;=9,"A1",IF(E78&lt;=14,"A2",IF(E78&lt;=20,"B1",IF(E78&lt;=25,"B2","C1"))))</f>
        <v>B2</v>
      </c>
      <c r="H78" s="2" t="str">
        <f aca="false">IF(G78="A1","Basic English Foundation",IF(G78="A2","Elementary English",IF(G78="B1","Intermediate English",IF(G78="B2","Upper-Intermediate English","Advanced English"))))</f>
        <v>Upper-Intermediate English</v>
      </c>
    </row>
    <row r="79" customFormat="false" ht="15" hidden="false" customHeight="false" outlineLevel="0" collapsed="false">
      <c r="A79" s="2" t="s">
        <v>85</v>
      </c>
      <c r="B79" s="3" t="n">
        <v>7</v>
      </c>
      <c r="C79" s="3" t="n">
        <v>8</v>
      </c>
      <c r="D79" s="3" t="n">
        <v>8</v>
      </c>
      <c r="E79" s="3" t="n">
        <f aca="false">B79+C79+D79</f>
        <v>23</v>
      </c>
      <c r="F79" s="4" t="n">
        <f aca="false">E79/30</f>
        <v>0.766666666666667</v>
      </c>
      <c r="G79" s="2" t="str">
        <f aca="false">IF(E79&lt;=9,"A1",IF(E79&lt;=14,"A2",IF(E79&lt;=20,"B1",IF(E79&lt;=25,"B2","C1"))))</f>
        <v>B2</v>
      </c>
      <c r="H79" s="2" t="str">
        <f aca="false">IF(G79="A1","Basic English Foundation",IF(G79="A2","Elementary English",IF(G79="B1","Intermediate English",IF(G79="B2","Upper-Intermediate English","Advanced English"))))</f>
        <v>Upper-Intermediate English</v>
      </c>
    </row>
    <row r="80" customFormat="false" ht="15" hidden="false" customHeight="false" outlineLevel="0" collapsed="false">
      <c r="A80" s="2" t="s">
        <v>86</v>
      </c>
      <c r="B80" s="3" t="n">
        <v>4</v>
      </c>
      <c r="C80" s="3" t="n">
        <v>6</v>
      </c>
      <c r="D80" s="3" t="n">
        <v>7</v>
      </c>
      <c r="E80" s="3" t="n">
        <f aca="false">B80+C80+D80</f>
        <v>17</v>
      </c>
      <c r="F80" s="4" t="n">
        <f aca="false">E80/30</f>
        <v>0.566666666666667</v>
      </c>
      <c r="G80" s="2" t="str">
        <f aca="false">IF(E80&lt;=9,"A1",IF(E80&lt;=14,"A2",IF(E80&lt;=20,"B1",IF(E80&lt;=25,"B2","C1"))))</f>
        <v>B1</v>
      </c>
      <c r="H80" s="2" t="str">
        <f aca="false">IF(G80="A1","Basic English Foundation",IF(G80="A2","Elementary English",IF(G80="B1","Intermediate English",IF(G80="B2","Upper-Intermediate English","Advanced English"))))</f>
        <v>Intermediate English</v>
      </c>
    </row>
    <row r="81" customFormat="false" ht="15" hidden="false" customHeight="false" outlineLevel="0" collapsed="false">
      <c r="A81" s="2" t="s">
        <v>87</v>
      </c>
      <c r="B81" s="3" t="n">
        <v>7</v>
      </c>
      <c r="C81" s="3" t="n">
        <v>10</v>
      </c>
      <c r="D81" s="3" t="n">
        <v>8</v>
      </c>
      <c r="E81" s="3" t="n">
        <f aca="false">B81+C81+D81</f>
        <v>25</v>
      </c>
      <c r="F81" s="4" t="n">
        <f aca="false">E81/30</f>
        <v>0.833333333333333</v>
      </c>
      <c r="G81" s="2" t="str">
        <f aca="false">IF(E81&lt;=9,"A1",IF(E81&lt;=14,"A2",IF(E81&lt;=20,"B1",IF(E81&lt;=25,"B2","C1"))))</f>
        <v>B2</v>
      </c>
      <c r="H81" s="2" t="str">
        <f aca="false">IF(G81="A1","Basic English Foundation",IF(G81="A2","Elementary English",IF(G81="B1","Intermediate English",IF(G81="B2","Upper-Intermediate English","Advanced English"))))</f>
        <v>Upper-Intermediate English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28"/>
  </cols>
  <sheetData>
    <row r="1" customFormat="false" ht="15" hidden="false" customHeight="false" outlineLevel="0" collapsed="false">
      <c r="A1" s="5" t="s">
        <v>88</v>
      </c>
      <c r="B1" s="5" t="s">
        <v>89</v>
      </c>
      <c r="C1" s="5" t="s">
        <v>90</v>
      </c>
      <c r="E1" s="6" t="s">
        <v>91</v>
      </c>
    </row>
    <row r="2" customFormat="false" ht="15" hidden="false" customHeight="false" outlineLevel="0" collapsed="false">
      <c r="A2" s="2" t="s">
        <v>92</v>
      </c>
      <c r="B2" s="2" t="s">
        <v>93</v>
      </c>
      <c r="C2" s="2" t="s">
        <v>94</v>
      </c>
    </row>
    <row r="3" customFormat="false" ht="15" hidden="false" customHeight="false" outlineLevel="0" collapsed="false">
      <c r="A3" s="2" t="s">
        <v>95</v>
      </c>
      <c r="B3" s="2" t="s">
        <v>96</v>
      </c>
      <c r="C3" s="2" t="s">
        <v>97</v>
      </c>
    </row>
    <row r="4" customFormat="false" ht="15" hidden="false" customHeight="false" outlineLevel="0" collapsed="false">
      <c r="A4" s="2" t="s">
        <v>98</v>
      </c>
      <c r="B4" s="2" t="s">
        <v>99</v>
      </c>
      <c r="C4" s="2" t="s">
        <v>100</v>
      </c>
    </row>
    <row r="5" customFormat="false" ht="15" hidden="false" customHeight="false" outlineLevel="0" collapsed="false">
      <c r="A5" s="2" t="s">
        <v>101</v>
      </c>
      <c r="B5" s="2" t="s">
        <v>102</v>
      </c>
      <c r="C5" s="2" t="s">
        <v>103</v>
      </c>
    </row>
    <row r="6" customFormat="false" ht="15" hidden="false" customHeight="false" outlineLevel="0" collapsed="false">
      <c r="A6" s="2" t="s">
        <v>104</v>
      </c>
      <c r="B6" s="2" t="s">
        <v>105</v>
      </c>
      <c r="C6" s="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2026-06-09T22:52:27Z</dcterms:created>
  <dc:creator>openpyxl</dc:creator>
  <dc:description/>
  <dc:language>en-US</dc:language>
  <cp:lastModifiedBy/>
  <dcterms:modified xsi:type="dcterms:W3CDTF">2026-06-09T22:52:27Z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